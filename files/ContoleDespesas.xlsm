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 Cordeiro\projetos\personal\shares\files\"/>
    </mc:Choice>
  </mc:AlternateContent>
  <xr:revisionPtr revIDLastSave="0" documentId="13_ncr:1_{36F1878C-DC55-4785-A7B4-7B01739E52A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2" l="1"/>
  <c r="B3" i="2" s="1"/>
  <c r="B4" i="2"/>
  <c r="B8" i="2"/>
  <c r="B3" i="3"/>
  <c r="B4" i="3"/>
  <c r="B9" i="2"/>
  <c r="B10" i="2" s="1"/>
  <c r="B1" i="2"/>
  <c r="B5" i="2" l="1"/>
  <c r="E1" i="2" s="1"/>
  <c r="B17" i="2"/>
  <c r="E8" i="3"/>
  <c r="E6" i="3"/>
  <c r="G2" i="2" l="1"/>
  <c r="G3" i="2"/>
  <c r="F3" i="2"/>
  <c r="F2" i="2"/>
  <c r="G4" i="2" l="1"/>
  <c r="F4" i="2"/>
  <c r="B12" i="2" l="1"/>
  <c r="B15" i="2" l="1"/>
  <c r="B19" i="2" l="1"/>
  <c r="B18" i="2"/>
  <c r="B20" i="2"/>
  <c r="B21" i="2" s="1"/>
  <c r="B16" i="2"/>
</calcChain>
</file>

<file path=xl/sharedStrings.xml><?xml version="1.0" encoding="utf-8"?>
<sst xmlns="http://schemas.openxmlformats.org/spreadsheetml/2006/main" count="148" uniqueCount="67">
  <si>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</si>
  <si>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</si>
  <si>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</si>
  <si>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</si>
  <si>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</si>
  <si>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</si>
  <si>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</si>
  <si>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</si>
  <si>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</si>
  <si>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</si>
  <si>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</si>
  <si>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</si>
  <si>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</si>
  <si>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</si>
  <si>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</si>
  <si>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</si>
  <si>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</si>
  <si>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</si>
  <si>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</si>
  <si>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</si>
  <si>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</si>
  <si>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</si>
  <si>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</si>
  <si>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</si>
  <si>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</si>
  <si>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</si>
  <si>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</si>
  <si>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</si>
  <si>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</si>
  <si>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</si>
  <si>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</si>
  <si>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</si>
  <si>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</si>
  <si>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</si>
  <si>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</si>
  <si>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</si>
  <si>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</si>
  <si>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</si>
  <si>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</si>
  <si>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</si>
  <si>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</si>
  <si>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</si>
  <si>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</si>
  <si>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</si>
  <si>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</si>
  <si>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</si>
  <si>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</si>
  <si>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Netflix</t>
  </si>
  <si>
    <t>Debito automatico C6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</si>
  <si>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</si>
  <si>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</si>
  <si>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</si>
  <si>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</si>
  <si>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</si>
  <si>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</si>
  <si>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</si>
  <si>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</si>
  <si>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Cartão de credito c6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</si>
  <si>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</si>
  <si>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</si>
  <si>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</si>
  <si>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</si>
  <si>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</si>
  <si>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</si>
  <si>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</si>
  <si>
    <t>Mistura</t>
  </si>
  <si>
    <t>Galão água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</si>
</sst>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7">
    <xf numFmtId="0" fontId="0" fillId="0" borderId="0" xfId="0"/>
    <xf numFmtId="167" fontId="16" fillId="0" borderId="0" xfId="0" applyNumberFormat="1" applyFont="1"/>
    <xf numFmtId="0" fontId="17" fillId="0" borderId="0" xfId="0" applyFont="1" applyAlignment="1"/>
    <xf numFmtId="0" fontId="17" fillId="0" borderId="0" xfId="0" applyFont="1" applyAlignment="1">
      <alignment horizontal="right"/>
    </xf>
    <xf numFmtId="0" fontId="16" fillId="0" borderId="0" xfId="0" applyFont="1" applyAlignme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67" fontId="16" fillId="0" borderId="0" xfId="0" applyNumberFormat="1" applyFont="1" applyAlignment="1"/>
    <xf numFmtId="10" fontId="16" fillId="0" borderId="0" xfId="0" applyNumberFormat="1" applyFont="1"/>
    <xf numFmtId="0" fontId="16" fillId="0" borderId="0" xfId="0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 applyAlignment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 applyAlignment="1"/>
    <xf numFmtId="170" fontId="0" fillId="0" borderId="0" xfId="1" applyNumberFormat="1" applyFont="1"/>
    <xf numFmtId="0" fontId="0" fillId="0" borderId="0" xfId="0" applyFont="1"/>
    <xf numFmtId="171" fontId="0" fillId="0" borderId="0" xfId="0" applyNumberFormat="1"/>
    <xf numFmtId="44" fontId="0" fillId="0" borderId="0" xfId="20" applyFont="1"/>
    <xf numFmtId="1" fontId="16" fillId="0" borderId="0" xfId="0" applyNumberFormat="1" applyFont="1"/>
    <xf numFmtId="1" fontId="16" fillId="0" borderId="0" xfId="0" applyNumberFormat="1" applyFont="1" applyAlignmen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</a:t>
            </a:r>
            <a:r>
              <a:rPr lang="pt-BR" baseline="0"/>
              <a:t> X salário</a:t>
            </a:r>
            <a:endParaRPr lang="pt-BR"/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4890.2</c:v>
                </c:pt>
                <c:pt idx="1">
                  <c:v>4847.295714285714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0.99122647627616745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0.99122647627616745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33350"/>
          <a:ext cx="2638425" cy="223837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00"/>
  <sheetViews>
    <sheetView workbookViewId="0">
      <selection activeCell="G11" sqref="G11"/>
    </sheetView>
  </sheetViews>
  <sheetFormatPr defaultRowHeight="15.75" customHeight="1"/>
  <cols>
    <col min="1" max="1" width="22.85546875" customWidth="1"/>
    <col min="2" max="3" width="15.28515625" customWidth="1"/>
    <col min="4" max="4" width="17" customWidth="1"/>
    <col min="5" max="1024" width="15.28515625" customWidth="1"/>
  </cols>
  <sheetData>
    <row r="1" spans="1:2" ht="12.75">
      <c r="A1" s="20"/>
    </row>
    <row r="2" spans="1:2" ht="12.75"/>
    <row r="3" spans="1:2" ht="12.75"/>
    <row r="4" spans="1:2" ht="12.75"/>
    <row r="5" spans="1:2" ht="12.75"/>
    <row r="6" spans="1:2" ht="12.75"/>
    <row r="7" spans="1:2" ht="12.75"/>
    <row r="8" spans="1:2" ht="12.75"/>
    <row r="9" spans="1:2" ht="12.75"/>
    <row r="10" spans="1:2" ht="12.75"/>
    <row r="12" spans="1:2" ht="14.25">
      <c r="B12" s="1"/>
    </row>
    <row r="13" spans="1:2" ht="14.25">
      <c r="B13" s="1"/>
    </row>
    <row r="14" spans="1:2" ht="14.25">
      <c r="B14" s="1"/>
    </row>
    <row r="15" spans="1:2" ht="14.25">
      <c r="B15" s="1"/>
    </row>
    <row r="16" spans="1:2" ht="14.25">
      <c r="B16" s="1"/>
    </row>
    <row r="17" spans="2:2" ht="14.25">
      <c r="B17" s="1"/>
    </row>
    <row r="18" spans="2:2" ht="14.25">
      <c r="B18" s="1"/>
    </row>
    <row r="19" spans="2:2" ht="14.25">
      <c r="B19" s="1"/>
    </row>
    <row r="20" spans="2:2" ht="14.25">
      <c r="B20" s="1"/>
    </row>
    <row r="21" spans="2:2" ht="14.25">
      <c r="B21" s="1"/>
    </row>
    <row r="22" spans="2:2" ht="14.25">
      <c r="B22" s="1"/>
    </row>
    <row r="23" spans="2:2" ht="14.25">
      <c r="B23" s="1"/>
    </row>
    <row r="24" spans="2:2" ht="14.25">
      <c r="B24" s="1"/>
    </row>
    <row r="25" spans="2:2" ht="14.25">
      <c r="B25" s="1"/>
    </row>
    <row r="26" spans="2:2" ht="14.25">
      <c r="B26" s="1"/>
    </row>
    <row r="27" spans="2:2" ht="14.25">
      <c r="B27" s="1"/>
    </row>
    <row r="28" spans="2:2" ht="14.25">
      <c r="B28" s="1"/>
    </row>
    <row r="29" spans="2:2" ht="14.25">
      <c r="B29" s="1"/>
    </row>
    <row r="30" spans="2:2" ht="14.25">
      <c r="B30" s="1"/>
    </row>
    <row r="31" spans="2:2" ht="14.25">
      <c r="B31" s="1"/>
    </row>
    <row r="32" spans="2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9"/>
  <sheetViews>
    <sheetView workbookViewId="0">
      <selection activeCell="A19" sqref="A19"/>
    </sheetView>
  </sheetViews>
  <sheetFormatPr defaultRowHeight="15.75" customHeight="1"/>
  <cols>
    <col min="1" max="3" width="15.28515625" customWidth="1"/>
    <col min="4" max="4" width="22.28515625" customWidth="1"/>
    <col min="5" max="1024" width="15.28515625" customWidth="1"/>
  </cols>
  <sheetData>
    <row r="1" spans="1:7" ht="14.25">
      <c r="A1" s="4" t="s">
        <v>42</v>
      </c>
      <c r="B1" s="8" t="s">
        <v>13</v>
      </c>
      <c r="C1" s="4" t="s">
        <v>43</v>
      </c>
      <c r="D1" s="4" t="s">
        <v>44</v>
      </c>
      <c r="E1" t="s">
        <v>12</v>
      </c>
    </row>
    <row r="2" spans="1:7" ht="14.25">
      <c r="A2" s="4" t="s">
        <v>45</v>
      </c>
      <c r="B2" s="8">
        <v>1110.21</v>
      </c>
      <c r="C2" s="4">
        <v>7</v>
      </c>
      <c r="D2" s="4" t="s">
        <v>46</v>
      </c>
      <c r="E2" t="s">
        <v>17</v>
      </c>
    </row>
    <row r="3" spans="1:7" ht="14.25">
      <c r="A3" s="4" t="s">
        <v>6</v>
      </c>
      <c r="B3" s="8">
        <f>AVERAGE(Database!$P$3:$P$14)</f>
        <v>90.502857142857152</v>
      </c>
      <c r="C3" s="4">
        <v>5</v>
      </c>
      <c r="E3" t="s">
        <v>17</v>
      </c>
    </row>
    <row r="4" spans="1:7" ht="14.25">
      <c r="A4" s="4" t="s">
        <v>7</v>
      </c>
      <c r="B4" s="8">
        <f>AVERAGE(Database!$S$3:$S$14)</f>
        <v>206.33285714285714</v>
      </c>
      <c r="C4" s="4">
        <v>11</v>
      </c>
      <c r="E4" t="s">
        <v>17</v>
      </c>
    </row>
    <row r="5" spans="1:7" ht="14.25">
      <c r="A5" s="4" t="s">
        <v>47</v>
      </c>
      <c r="B5" s="8">
        <v>55.9</v>
      </c>
      <c r="C5" s="4">
        <v>30</v>
      </c>
      <c r="D5" s="4" t="s">
        <v>48</v>
      </c>
    </row>
    <row r="6" spans="1:7" ht="15">
      <c r="A6" s="2" t="s">
        <v>49</v>
      </c>
      <c r="B6" s="5">
        <v>50</v>
      </c>
      <c r="C6" s="4">
        <v>10</v>
      </c>
      <c r="E6" t="str">
        <f ca="1">VLOOKUP(Database!$B$3,Database!$I$3:$J$14,2,0)</f>
        <v>ok</v>
      </c>
    </row>
    <row r="7" spans="1:7" ht="15">
      <c r="A7" s="2" t="s">
        <v>50</v>
      </c>
      <c r="B7" s="5">
        <v>120</v>
      </c>
      <c r="C7" s="4">
        <v>8</v>
      </c>
      <c r="D7" s="4" t="s">
        <v>51</v>
      </c>
      <c r="E7" t="s">
        <v>17</v>
      </c>
      <c r="F7" s="4"/>
      <c r="G7" s="1"/>
    </row>
    <row r="8" spans="1:7" ht="14.25">
      <c r="A8" s="4" t="s">
        <v>5</v>
      </c>
      <c r="B8" s="8">
        <v>0</v>
      </c>
      <c r="C8" s="4">
        <v>30</v>
      </c>
      <c r="E8">
        <f ca="1">VLOOKUP(Database!$B$3,Database!$L$3:$M$14,2,0)</f>
        <v>0</v>
      </c>
      <c r="F8" s="4"/>
    </row>
    <row r="9" spans="1:7" ht="15">
      <c r="A9" s="2" t="s">
        <v>52</v>
      </c>
      <c r="B9" s="5">
        <v>45</v>
      </c>
      <c r="C9" s="4">
        <v>2</v>
      </c>
      <c r="F9" s="10"/>
    </row>
    <row r="10" spans="1:7" ht="14.25">
      <c r="A10" s="4" t="s">
        <v>53</v>
      </c>
      <c r="B10" s="8">
        <v>659.85</v>
      </c>
      <c r="C10" s="4">
        <v>21</v>
      </c>
      <c r="F10" s="10"/>
    </row>
    <row r="11" spans="1:7" ht="14.25">
      <c r="A11" s="4" t="s">
        <v>54</v>
      </c>
      <c r="B11" s="8">
        <v>0</v>
      </c>
      <c r="C11" s="4">
        <v>10</v>
      </c>
    </row>
    <row r="12" spans="1:7" ht="14.25">
      <c r="A12" s="4" t="s">
        <v>55</v>
      </c>
      <c r="B12" s="8">
        <v>120</v>
      </c>
      <c r="C12" s="4">
        <v>5</v>
      </c>
    </row>
    <row r="13" spans="1:7" ht="14.25">
      <c r="A13" s="4" t="s">
        <v>56</v>
      </c>
      <c r="B13" s="8">
        <v>10</v>
      </c>
      <c r="C13" s="4">
        <v>30</v>
      </c>
      <c r="D13" s="4" t="s">
        <v>57</v>
      </c>
      <c r="E13" t="s">
        <v>17</v>
      </c>
    </row>
    <row r="14" spans="1:7" ht="14.25">
      <c r="A14" s="4" t="s">
        <v>58</v>
      </c>
      <c r="B14" s="8">
        <v>60</v>
      </c>
      <c r="C14" s="4">
        <v>20</v>
      </c>
      <c r="D14" s="4" t="s">
        <v>59</v>
      </c>
      <c r="E14" s="11"/>
    </row>
    <row r="15" spans="1:7" ht="14.25">
      <c r="A15" s="4" t="s">
        <v>60</v>
      </c>
      <c r="B15" s="8">
        <v>0</v>
      </c>
    </row>
    <row r="16" spans="1:7" ht="14.25">
      <c r="A16" s="4" t="s">
        <v>61</v>
      </c>
      <c r="B16" s="1">
        <v>284.57</v>
      </c>
      <c r="C16" s="4">
        <v>1</v>
      </c>
      <c r="E16" t="s">
        <v>17</v>
      </c>
    </row>
    <row r="17" spans="1:5" ht="14.25">
      <c r="A17" s="4" t="s">
        <v>62</v>
      </c>
      <c r="B17" s="1">
        <v>698.93</v>
      </c>
      <c r="E17" t="s">
        <v>17</v>
      </c>
    </row>
    <row r="18" spans="1:5" ht="14.25">
      <c r="A18" s="4" t="s">
        <v>63</v>
      </c>
      <c r="B18" s="1">
        <v>743</v>
      </c>
    </row>
    <row r="19" spans="1:5" ht="14.25">
      <c r="A19" s="4" t="s">
        <v>64</v>
      </c>
      <c r="B19" s="1">
        <v>549</v>
      </c>
      <c r="E19" t="s">
        <v>17</v>
      </c>
    </row>
    <row r="20" spans="1:5" ht="14.25">
      <c r="A20" s="4" t="s">
        <v>66</v>
      </c>
      <c r="B20" s="1">
        <v>44</v>
      </c>
    </row>
    <row r="21" spans="1:5" ht="14.25">
      <c r="B21" s="1"/>
    </row>
    <row r="22" spans="1:5" ht="14.25">
      <c r="B22" s="1"/>
    </row>
    <row r="23" spans="1:5" ht="14.25">
      <c r="B23" s="1"/>
    </row>
    <row r="24" spans="1:5" ht="14.25">
      <c r="B24" s="1"/>
    </row>
    <row r="25" spans="1:5" ht="14.25">
      <c r="B25" s="1"/>
    </row>
    <row r="26" spans="1:5" ht="14.25">
      <c r="B26" s="1"/>
    </row>
    <row r="27" spans="1:5" ht="14.25">
      <c r="B27" s="1"/>
    </row>
    <row r="28" spans="1:5" ht="14.25">
      <c r="B28" s="1"/>
    </row>
    <row r="29" spans="1:5" ht="14.25">
      <c r="B29" s="1"/>
    </row>
    <row r="30" spans="1:5" ht="14.25">
      <c r="B30" s="1"/>
    </row>
    <row r="31" spans="1:5" ht="14.25">
      <c r="B31" s="1"/>
    </row>
    <row r="32" spans="1:5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tabSelected="1" workbookViewId="0">
      <selection activeCell="B20" sqref="B20"/>
    </sheetView>
  </sheetViews>
  <sheetFormatPr defaultRowHeight="12.75"/>
  <cols>
    <col min="1" max="1" width="24.5703125" customWidth="1"/>
    <col min="2" max="3" width="12.140625" customWidth="1"/>
    <col min="4" max="4" width="18.28515625" bestFit="1" customWidth="1"/>
    <col min="5" max="22" width="12.140625" customWidth="1"/>
  </cols>
  <sheetData>
    <row r="1" spans="1:22" ht="15">
      <c r="A1" t="s">
        <v>0</v>
      </c>
      <c r="B1">
        <f ca="1">YEAR(TODAY())</f>
        <v>2022</v>
      </c>
      <c r="D1" s="2" t="s">
        <v>1</v>
      </c>
      <c r="E1" s="3">
        <f ca="1">$B$5</f>
        <v>21</v>
      </c>
      <c r="F1" s="4" t="s">
        <v>2</v>
      </c>
      <c r="G1" s="4" t="s">
        <v>3</v>
      </c>
      <c r="I1" s="25" t="s">
        <v>4</v>
      </c>
      <c r="J1" s="25"/>
      <c r="L1" s="26" t="s">
        <v>5</v>
      </c>
      <c r="M1" s="26"/>
      <c r="O1" s="25" t="s">
        <v>6</v>
      </c>
      <c r="P1" s="25"/>
      <c r="R1" s="25" t="s">
        <v>7</v>
      </c>
      <c r="S1" s="25"/>
      <c r="U1" s="26" t="s">
        <v>8</v>
      </c>
      <c r="V1" s="26"/>
    </row>
    <row r="2" spans="1:22" ht="15">
      <c r="A2" t="s">
        <v>9</v>
      </c>
      <c r="B2">
        <f ca="1">MONTH(TODAY())+1</f>
        <v>7</v>
      </c>
      <c r="D2" s="2" t="s">
        <v>10</v>
      </c>
      <c r="F2" s="5">
        <f ca="1">25*E1</f>
        <v>525</v>
      </c>
      <c r="G2" s="5">
        <f ca="1">14.9*E1</f>
        <v>312.90000000000003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5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Jul</v>
      </c>
      <c r="D3" s="2" t="s">
        <v>15</v>
      </c>
      <c r="F3" s="5">
        <f ca="1">(4.4*2)*E1</f>
        <v>184.8</v>
      </c>
      <c r="G3" s="5">
        <f ca="1">14.9*E1</f>
        <v>312.90000000000003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5">
      <c r="A4" t="s">
        <v>18</v>
      </c>
      <c r="B4" s="19">
        <f ca="1">DAY(EOMONTH(TODAY()+1,0))</f>
        <v>31</v>
      </c>
      <c r="D4" s="2" t="s">
        <v>19</v>
      </c>
      <c r="F4" s="5">
        <f ca="1">F2+F3</f>
        <v>709.8</v>
      </c>
      <c r="G4" s="5">
        <f ca="1">G2+G3</f>
        <v>625.80000000000007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21</v>
      </c>
      <c r="I5" t="s">
        <v>22</v>
      </c>
      <c r="J5" t="s">
        <v>17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5">
      <c r="D6" s="2" t="s">
        <v>65</v>
      </c>
      <c r="E6" s="22">
        <v>600</v>
      </c>
      <c r="I6" t="s">
        <v>23</v>
      </c>
      <c r="J6" t="s">
        <v>17</v>
      </c>
      <c r="L6" t="s">
        <v>23</v>
      </c>
      <c r="O6" t="s">
        <v>23</v>
      </c>
      <c r="P6" s="7">
        <v>67.41</v>
      </c>
      <c r="R6" t="s">
        <v>23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L7" t="s">
        <v>24</v>
      </c>
      <c r="O7" t="s">
        <v>24</v>
      </c>
      <c r="P7" s="7">
        <v>67.41</v>
      </c>
      <c r="R7" t="s">
        <v>24</v>
      </c>
      <c r="S7" s="7">
        <v>159.55000000000001</v>
      </c>
      <c r="U7" t="s">
        <v>24</v>
      </c>
    </row>
    <row r="8" spans="1:22" ht="14.25">
      <c r="A8" s="4" t="s">
        <v>25</v>
      </c>
      <c r="B8" s="8">
        <f>5600+600</f>
        <v>6200</v>
      </c>
      <c r="I8" t="s">
        <v>26</v>
      </c>
      <c r="L8" t="s">
        <v>26</v>
      </c>
      <c r="O8" t="s">
        <v>26</v>
      </c>
      <c r="P8" s="7">
        <v>212.33</v>
      </c>
      <c r="R8" t="s">
        <v>26</v>
      </c>
      <c r="S8" s="7">
        <v>136.58000000000001</v>
      </c>
      <c r="U8" t="s">
        <v>26</v>
      </c>
    </row>
    <row r="9" spans="1:22" ht="14.25">
      <c r="A9" s="4" t="s">
        <v>27</v>
      </c>
      <c r="B9" s="1">
        <f>B8/30</f>
        <v>206.66666666666666</v>
      </c>
      <c r="I9" t="s">
        <v>28</v>
      </c>
      <c r="J9" t="s">
        <v>17</v>
      </c>
      <c r="L9" t="s">
        <v>28</v>
      </c>
      <c r="O9" t="s">
        <v>28</v>
      </c>
      <c r="P9" s="7">
        <v>96.7</v>
      </c>
      <c r="R9" t="s">
        <v>28</v>
      </c>
      <c r="S9" s="7">
        <v>136.37</v>
      </c>
      <c r="U9" t="s">
        <v>28</v>
      </c>
    </row>
    <row r="10" spans="1:22" ht="14.25">
      <c r="A10" s="8" t="s">
        <v>29</v>
      </c>
      <c r="B10" s="1">
        <f>B9/8</f>
        <v>25.833333333333332</v>
      </c>
      <c r="I10" t="s">
        <v>30</v>
      </c>
      <c r="L10" t="s">
        <v>30</v>
      </c>
      <c r="O10" t="s">
        <v>30</v>
      </c>
      <c r="P10" s="7"/>
      <c r="R10" t="s">
        <v>30</v>
      </c>
      <c r="S10" s="7"/>
      <c r="U10" t="s">
        <v>30</v>
      </c>
    </row>
    <row r="11" spans="1:22">
      <c r="I11" t="s">
        <v>31</v>
      </c>
      <c r="L11" t="s">
        <v>31</v>
      </c>
      <c r="O11" t="s">
        <v>31</v>
      </c>
      <c r="P11" s="7"/>
      <c r="R11" t="s">
        <v>31</v>
      </c>
      <c r="S11" s="7"/>
      <c r="U11" t="s">
        <v>31</v>
      </c>
    </row>
    <row r="12" spans="1:22" ht="14.25">
      <c r="A12" s="4" t="s">
        <v>32</v>
      </c>
      <c r="B12" s="8">
        <f ca="1">Database!$B$8-$F$4-E6</f>
        <v>4890.2</v>
      </c>
      <c r="I12" t="s">
        <v>33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4.25">
      <c r="A13" s="4" t="s">
        <v>3</v>
      </c>
      <c r="B13" s="8">
        <v>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4.25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4.25">
      <c r="A15" s="4" t="s">
        <v>36</v>
      </c>
      <c r="B15" s="1">
        <f ca="1">$B$13+$B$12</f>
        <v>4890.2</v>
      </c>
    </row>
    <row r="16" spans="1:22" ht="15">
      <c r="A16" s="4" t="s">
        <v>37</v>
      </c>
      <c r="B16" s="1">
        <f ca="1">B15*0.6</f>
        <v>2934.12</v>
      </c>
      <c r="D16" s="4"/>
      <c r="G16" s="3"/>
    </row>
    <row r="17" spans="1:5" ht="14.25">
      <c r="A17" s="4" t="s">
        <v>38</v>
      </c>
      <c r="B17" s="8">
        <f>SUM(Despesas!$B$2:$B$999)</f>
        <v>4847.295714285714</v>
      </c>
      <c r="D17" s="4"/>
      <c r="E17" s="23"/>
    </row>
    <row r="18" spans="1:5" ht="14.25">
      <c r="A18" t="s">
        <v>39</v>
      </c>
      <c r="B18" s="1">
        <f ca="1">B15-B17</f>
        <v>42.904285714285834</v>
      </c>
      <c r="D18" s="4"/>
      <c r="E18" s="24"/>
    </row>
    <row r="19" spans="1:5" ht="14.25">
      <c r="A19" s="4" t="s">
        <v>40</v>
      </c>
      <c r="B19" s="9">
        <f ca="1">B17/B15</f>
        <v>0.99122647627616745</v>
      </c>
    </row>
    <row r="20" spans="1:5" ht="14.25">
      <c r="A20" s="4" t="s">
        <v>41</v>
      </c>
      <c r="B20" s="1">
        <f ca="1">(B15-B17)*0.2</f>
        <v>8.5808571428571678</v>
      </c>
      <c r="D20" s="21"/>
    </row>
    <row r="21" spans="1:5" ht="14.25">
      <c r="A21" s="4" t="s">
        <v>39</v>
      </c>
      <c r="B21" s="1">
        <f ca="1">(B15-B17)-B20</f>
        <v>34.323428571428664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28515625" customWidth="1"/>
  </cols>
  <sheetData>
    <row r="1" spans="1:1" ht="14.25">
      <c r="A1" s="12">
        <v>44562</v>
      </c>
    </row>
    <row r="2" spans="1:1" ht="14.25">
      <c r="A2" s="13">
        <v>44607</v>
      </c>
    </row>
    <row r="3" spans="1:1" ht="14.25">
      <c r="A3" s="14">
        <v>44608</v>
      </c>
    </row>
    <row r="4" spans="1:1" ht="14.25">
      <c r="A4" s="15">
        <v>44653</v>
      </c>
    </row>
    <row r="5" spans="1:1" ht="14.25">
      <c r="A5" s="16">
        <v>44672</v>
      </c>
    </row>
    <row r="6" spans="1:1" ht="14.25">
      <c r="A6" s="15">
        <v>44682</v>
      </c>
    </row>
    <row r="7" spans="1:1" ht="14.25">
      <c r="A7" s="16">
        <v>44715</v>
      </c>
    </row>
    <row r="8" spans="1:1" ht="14.25">
      <c r="A8" s="15">
        <v>44811</v>
      </c>
    </row>
    <row r="9" spans="1:1" ht="14.25">
      <c r="A9" s="16">
        <v>44846</v>
      </c>
    </row>
    <row r="10" spans="1:1" ht="14.25">
      <c r="A10" s="15">
        <v>44867</v>
      </c>
    </row>
    <row r="11" spans="1:1" ht="15">
      <c r="A11" s="17">
        <v>44880</v>
      </c>
    </row>
    <row r="12" spans="1:1" ht="15">
      <c r="A12" s="17">
        <v>44920</v>
      </c>
    </row>
    <row r="13" spans="1:1" ht="14.25">
      <c r="A13" s="18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 Cordeiro</cp:lastModifiedBy>
  <cp:revision>5</cp:revision>
  <dcterms:created xsi:type="dcterms:W3CDTF">2022-02-23T01:04:37Z</dcterms:created>
  <dcterms:modified xsi:type="dcterms:W3CDTF">2022-07-01T02:01:01Z</dcterms:modified>
</cp:coreProperties>
</file>