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\projetos\personal\shares\files\"/>
    </mc:Choice>
  </mc:AlternateContent>
  <xr:revisionPtr revIDLastSave="0" documentId="13_ncr:1_{130A1849-942E-4428-B5BB-41DFC78A769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B4" i="2"/>
  <c r="B3" i="3"/>
  <c r="B4" i="3"/>
  <c r="B9" i="2"/>
  <c r="B10" i="2" s="1"/>
  <c r="B1" i="2"/>
  <c r="B5" i="2" l="1"/>
  <c r="E1" i="2" s="1"/>
  <c r="B17" i="2"/>
  <c r="E8" i="3"/>
  <c r="E6" i="3"/>
  <c r="G2" i="2" l="1"/>
  <c r="G3" i="2"/>
  <c r="F3" i="2"/>
  <c r="F2" i="2"/>
  <c r="G4" i="2" l="1"/>
  <c r="F4" i="2"/>
  <c r="B12" i="2" l="1"/>
  <c r="B15" i="2" l="1"/>
  <c r="B19" i="2" l="1"/>
  <c r="B18" i="2"/>
  <c r="B21" i="2"/>
  <c r="B16" i="2"/>
</calcChain>
</file>

<file path=xl/sharedStrings.xml><?xml version="1.0" encoding="utf-8"?>
<sst xmlns="http://schemas.openxmlformats.org/spreadsheetml/2006/main" count="147" uniqueCount="68">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</sst>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3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5824</c:v>
                </c:pt>
                <c:pt idx="1">
                  <c:v>5556.4195238095244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0.95405555010465737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0.95405555010465737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638425" cy="22383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workbookViewId="0">
      <selection activeCell="G11" sqref="G11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2:2" ht="12.75"/>
    <row r="2" spans="2:2" ht="12.75"/>
    <row r="3" spans="2:2" ht="12.75"/>
    <row r="4" spans="2:2" ht="12.75"/>
    <row r="5" spans="2:2" ht="12.75"/>
    <row r="6" spans="2:2" ht="12.75"/>
    <row r="7" spans="2:2" ht="12.75"/>
    <row r="8" spans="2:2" ht="12.75"/>
    <row r="9" spans="2:2" ht="12.75"/>
    <row r="10" spans="2:2" ht="12.75"/>
    <row r="12" spans="2:2" ht="14.25">
      <c r="B12" s="1"/>
    </row>
    <row r="13" spans="2:2" ht="14.25">
      <c r="B13" s="1"/>
    </row>
    <row r="14" spans="2:2" ht="14.25">
      <c r="B14" s="1"/>
    </row>
    <row r="15" spans="2:2" ht="14.25">
      <c r="B15" s="1"/>
    </row>
    <row r="16" spans="2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workbookViewId="0">
      <selection activeCell="D19" sqref="D19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4.25">
      <c r="A3" s="4" t="s">
        <v>6</v>
      </c>
      <c r="B3" s="1">
        <f>AVERAGE(Database!$P$3:$P$14)</f>
        <v>90.502857142857152</v>
      </c>
      <c r="C3" s="4">
        <v>5</v>
      </c>
    </row>
    <row r="4" spans="1:7" ht="14.25">
      <c r="A4" s="4" t="s">
        <v>7</v>
      </c>
      <c r="B4" s="1">
        <f>AVERAGE(Database!$S$3:$S$14)</f>
        <v>236.25666666666666</v>
      </c>
      <c r="C4" s="4">
        <v>11</v>
      </c>
      <c r="E4" t="s">
        <v>17</v>
      </c>
    </row>
    <row r="5" spans="1:7" ht="14.25">
      <c r="A5" s="4" t="s">
        <v>47</v>
      </c>
      <c r="B5" s="1">
        <v>55.9</v>
      </c>
      <c r="C5" s="4">
        <v>30</v>
      </c>
      <c r="D5" s="4" t="s">
        <v>48</v>
      </c>
      <c r="E5" t="s">
        <v>67</v>
      </c>
    </row>
    <row r="6" spans="1:7" ht="15">
      <c r="A6" s="2" t="s">
        <v>49</v>
      </c>
      <c r="B6" s="5">
        <v>50</v>
      </c>
      <c r="C6" s="4">
        <v>10</v>
      </c>
      <c r="E6" t="str">
        <f ca="1">VLOOKUP(Database!$B$3,Database!$I$3:$J$14,2,0)</f>
        <v>ok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 s="1"/>
    </row>
    <row r="8" spans="1:7" ht="14.25">
      <c r="A8" s="4" t="s">
        <v>5</v>
      </c>
      <c r="B8" s="1">
        <v>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F9" s="4"/>
    </row>
    <row r="10" spans="1:7" ht="14.25">
      <c r="A10" s="4" t="s">
        <v>53</v>
      </c>
      <c r="B10" s="1">
        <v>659.85</v>
      </c>
      <c r="C10" s="4">
        <v>21</v>
      </c>
      <c r="F10" s="4"/>
    </row>
    <row r="11" spans="1:7" ht="14.25">
      <c r="A11" s="4" t="s">
        <v>54</v>
      </c>
      <c r="B11" s="1">
        <v>0</v>
      </c>
      <c r="C11" s="4">
        <v>10</v>
      </c>
      <c r="G11" s="18"/>
    </row>
    <row r="12" spans="1:7" ht="14.25">
      <c r="A12" s="4" t="s">
        <v>55</v>
      </c>
      <c r="B12" s="1">
        <v>120</v>
      </c>
      <c r="C12" s="4">
        <v>5</v>
      </c>
    </row>
    <row r="13" spans="1:7" ht="14.25">
      <c r="A13" s="4" t="s">
        <v>56</v>
      </c>
      <c r="B13" s="1">
        <v>10</v>
      </c>
      <c r="C13" s="4">
        <v>30</v>
      </c>
      <c r="D13" s="4" t="s">
        <v>57</v>
      </c>
    </row>
    <row r="14" spans="1:7" ht="14.25">
      <c r="A14" s="4" t="s">
        <v>58</v>
      </c>
      <c r="B14" s="1">
        <v>60</v>
      </c>
      <c r="C14" s="4">
        <v>20</v>
      </c>
      <c r="D14" s="4" t="s">
        <v>59</v>
      </c>
      <c r="E14" s="9"/>
    </row>
    <row r="15" spans="1:7" ht="14.25">
      <c r="A15" s="4" t="s">
        <v>60</v>
      </c>
      <c r="B15" s="1">
        <v>0</v>
      </c>
    </row>
    <row r="16" spans="1:7" ht="14.25">
      <c r="A16" s="4" t="s">
        <v>61</v>
      </c>
      <c r="B16" s="1">
        <v>230</v>
      </c>
      <c r="C16" s="4">
        <v>1</v>
      </c>
      <c r="E16" t="s">
        <v>17</v>
      </c>
    </row>
    <row r="17" spans="1:5" ht="14.25">
      <c r="A17" s="4" t="s">
        <v>62</v>
      </c>
      <c r="B17" s="1">
        <v>1400</v>
      </c>
      <c r="E17" t="s">
        <v>17</v>
      </c>
    </row>
    <row r="18" spans="1:5" ht="14.25">
      <c r="A18" s="4" t="s">
        <v>63</v>
      </c>
      <c r="B18" s="1">
        <v>800</v>
      </c>
    </row>
    <row r="19" spans="1:5" ht="14.25">
      <c r="A19" s="4" t="s">
        <v>64</v>
      </c>
      <c r="B19" s="1">
        <v>524.70000000000005</v>
      </c>
    </row>
    <row r="20" spans="1:5" ht="14.25">
      <c r="A20" s="4" t="s">
        <v>66</v>
      </c>
      <c r="B20" s="1">
        <v>44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topLeftCell="B1" workbookViewId="0">
      <selection activeCell="D13" sqref="D13:F15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20</v>
      </c>
      <c r="F1" s="4" t="s">
        <v>2</v>
      </c>
      <c r="G1" s="4" t="s">
        <v>3</v>
      </c>
      <c r="I1" s="21" t="s">
        <v>4</v>
      </c>
      <c r="J1" s="21"/>
      <c r="L1" s="22" t="s">
        <v>5</v>
      </c>
      <c r="M1" s="22"/>
      <c r="O1" s="21" t="s">
        <v>6</v>
      </c>
      <c r="P1" s="21"/>
      <c r="R1" s="21" t="s">
        <v>7</v>
      </c>
      <c r="S1" s="21"/>
      <c r="U1" s="22" t="s">
        <v>8</v>
      </c>
      <c r="V1" s="22"/>
    </row>
    <row r="2" spans="1:22" ht="15">
      <c r="A2" t="s">
        <v>9</v>
      </c>
      <c r="B2">
        <f ca="1">MONTH(TODAY())</f>
        <v>10</v>
      </c>
      <c r="D2" s="2" t="s">
        <v>10</v>
      </c>
      <c r="F2" s="5">
        <f ca="1">25*E1</f>
        <v>500</v>
      </c>
      <c r="G2" s="5">
        <f ca="1">14.9*E1</f>
        <v>298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Out</v>
      </c>
      <c r="D3" s="2" t="s">
        <v>15</v>
      </c>
      <c r="F3" s="5">
        <f ca="1">(4.4*2)*E1</f>
        <v>176</v>
      </c>
      <c r="G3" s="5">
        <f ca="1">14.9*E1</f>
        <v>298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7">
        <f ca="1">DAY(EOMONTH(TODAY()+1,0))</f>
        <v>31</v>
      </c>
      <c r="D4" s="2" t="s">
        <v>19</v>
      </c>
      <c r="F4" s="5">
        <f ca="1">F2+F3</f>
        <v>676</v>
      </c>
      <c r="G4" s="5">
        <f ca="1">G2+G3</f>
        <v>596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20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65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1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4.25">
      <c r="A9" s="4" t="s">
        <v>27</v>
      </c>
      <c r="B9" s="1">
        <f>B8/30</f>
        <v>206.66666666666666</v>
      </c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4.25">
      <c r="A10" s="1" t="s">
        <v>29</v>
      </c>
      <c r="B10" s="1">
        <f>B9/8</f>
        <v>25.833333333333332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4.25">
      <c r="A12" s="4" t="s">
        <v>32</v>
      </c>
      <c r="B12" s="1">
        <f ca="1">Database!$B$8-$F$4-E6</f>
        <v>4924</v>
      </c>
      <c r="I12" t="s">
        <v>33</v>
      </c>
      <c r="J12" t="s">
        <v>17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1">
        <v>900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5824</v>
      </c>
    </row>
    <row r="16" spans="1:22" ht="14.25">
      <c r="A16" s="4" t="s">
        <v>37</v>
      </c>
      <c r="B16" s="1">
        <f ca="1">B15*0.6</f>
        <v>3494.4</v>
      </c>
      <c r="D16" s="4"/>
    </row>
    <row r="17" spans="1:14" ht="14.25">
      <c r="A17" s="4" t="s">
        <v>38</v>
      </c>
      <c r="B17" s="1">
        <f>SUM(Despesas!$B$2:$B$999)</f>
        <v>5556.4195238095244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4.25">
      <c r="A18" t="s">
        <v>39</v>
      </c>
      <c r="B18" s="1">
        <f ca="1">B15-B17</f>
        <v>267.58047619047557</v>
      </c>
      <c r="D18" s="4"/>
      <c r="E18" s="20"/>
    </row>
    <row r="19" spans="1:14" ht="14.25">
      <c r="A19" s="4" t="s">
        <v>40</v>
      </c>
      <c r="B19" s="8">
        <f ca="1">B17/B15</f>
        <v>0.95405555010465737</v>
      </c>
    </row>
    <row r="20" spans="1:14" ht="14.25">
      <c r="A20" s="4" t="s">
        <v>41</v>
      </c>
      <c r="B20" s="1">
        <v>100</v>
      </c>
      <c r="D20" s="18"/>
    </row>
    <row r="21" spans="1:14" ht="14.25">
      <c r="A21" s="4" t="s">
        <v>39</v>
      </c>
      <c r="B21" s="1">
        <f ca="1">(B15-B17)-B20</f>
        <v>167.58047619047557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0">
        <v>44562</v>
      </c>
    </row>
    <row r="2" spans="1:1" ht="14.25">
      <c r="A2" s="11">
        <v>44607</v>
      </c>
    </row>
    <row r="3" spans="1:1" ht="14.25">
      <c r="A3" s="12">
        <v>44608</v>
      </c>
    </row>
    <row r="4" spans="1:1" ht="14.25">
      <c r="A4" s="13">
        <v>44653</v>
      </c>
    </row>
    <row r="5" spans="1:1" ht="14.25">
      <c r="A5" s="14">
        <v>44672</v>
      </c>
    </row>
    <row r="6" spans="1:1" ht="14.25">
      <c r="A6" s="13">
        <v>44682</v>
      </c>
    </row>
    <row r="7" spans="1:1" ht="14.25">
      <c r="A7" s="14">
        <v>44715</v>
      </c>
    </row>
    <row r="8" spans="1:1" ht="14.25">
      <c r="A8" s="13">
        <v>44811</v>
      </c>
    </row>
    <row r="9" spans="1:1" ht="14.25">
      <c r="A9" s="14">
        <v>44846</v>
      </c>
    </row>
    <row r="10" spans="1:1" ht="14.25">
      <c r="A10" s="13">
        <v>44867</v>
      </c>
    </row>
    <row r="11" spans="1:1" ht="15">
      <c r="A11" s="15">
        <v>44880</v>
      </c>
    </row>
    <row r="12" spans="1:1" ht="15">
      <c r="A12" s="15">
        <v>44920</v>
      </c>
    </row>
    <row r="13" spans="1:1" ht="14.25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</cp:lastModifiedBy>
  <cp:revision>5</cp:revision>
  <dcterms:created xsi:type="dcterms:W3CDTF">2022-02-23T01:04:37Z</dcterms:created>
  <dcterms:modified xsi:type="dcterms:W3CDTF">2022-10-01T12:35:45Z</dcterms:modified>
</cp:coreProperties>
</file>