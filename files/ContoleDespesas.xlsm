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 Cordeiro\projetos\personal\shares\files\"/>
    </mc:Choice>
  </mc:AlternateContent>
  <xr:revisionPtr revIDLastSave="0" documentId="13_ncr:1_{E62725BF-46B9-4D5A-A13B-D20DC160C945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  <c r="B3" i="2" s="1"/>
  <c r="B4" i="2"/>
  <c r="B3" i="3"/>
  <c r="B4" i="3"/>
  <c r="B10" i="2"/>
  <c r="B9" i="2"/>
  <c r="B1" i="2"/>
  <c r="B17" i="2" l="1"/>
  <c r="B5" i="2"/>
  <c r="E1" i="2" s="1"/>
  <c r="E8" i="3"/>
  <c r="E6" i="3"/>
  <c r="F3" i="2" l="1"/>
  <c r="F2" i="2"/>
  <c r="G4" i="2" l="1"/>
  <c r="F4" i="2"/>
  <c r="B12" i="2" l="1"/>
  <c r="B15" i="2" l="1"/>
  <c r="B19" i="2" l="1"/>
  <c r="B18" i="2"/>
  <c r="B20" i="2"/>
  <c r="B21" i="2" s="1"/>
  <c r="B16" i="2"/>
</calcChain>
</file>

<file path=xl/sharedStrings.xml><?xml version="1.0" encoding="utf-8"?>
<sst xmlns="http://schemas.openxmlformats.org/spreadsheetml/2006/main" count="150" uniqueCount="67">
  <si>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</si>
  <si>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</si>
  <si>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</si>
  <si>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</si>
  <si>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</si>
  <si>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</si>
  <si>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</si>
  <si>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</si>
  <si>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</si>
  <si>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</si>
  <si>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</si>
  <si>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</si>
  <si>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</si>
  <si>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</si>
  <si>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</si>
  <si>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</si>
  <si>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</si>
  <si>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</si>
  <si>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</si>
  <si>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</si>
  <si>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</si>
  <si>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</si>
  <si>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</si>
  <si>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</si>
  <si>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</si>
  <si>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</si>
  <si>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</si>
  <si>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</si>
  <si>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</si>
  <si>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</si>
  <si>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</si>
  <si>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</si>
  <si>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</si>
  <si>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</si>
  <si>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</si>
  <si>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</si>
  <si>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</si>
  <si>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</si>
  <si>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</si>
  <si>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</si>
  <si>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</si>
  <si>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</si>
  <si>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</si>
  <si>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</si>
  <si>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</si>
  <si>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</si>
  <si>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</si>
  <si>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</si>
  <si>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</si>
  <si>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</si>
  <si>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</si>
  <si>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</si>
  <si>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</si>
  <si>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</si>
  <si>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</si>
  <si>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</si>
  <si>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</si>
  <si>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</si>
  <si>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</si>
  <si>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</si>
  <si>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</si>
  <si>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</si>
  <si>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</si>
  <si>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</si>
  <si>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</si>
  <si>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</si>
  <si>
    <t>Galão água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</si>
</sst>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7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0" fontId="0" fillId="0" borderId="0" xfId="1" applyNumberFormat="1" applyFont="1"/>
    <xf numFmtId="0" fontId="0" fillId="0" borderId="0" xfId="0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" fontId="16" fillId="0" borderId="0" xfId="0" applyNumberFormat="1" applyFont="1" applyAlignme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4256.3999999999996</c:v>
                </c:pt>
                <c:pt idx="1">
                  <c:v>4478.9933333333338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28575</xdr:rowOff>
    </xdr:from>
    <xdr:to>
      <xdr:col>4</xdr:col>
      <xdr:colOff>238125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1D6A93-12CE-444B-B2E1-D046DE669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0"/>
  <sheetViews>
    <sheetView workbookViewId="0">
      <selection activeCell="H19" sqref="H19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0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9"/>
  <sheetViews>
    <sheetView tabSelected="1" workbookViewId="0">
      <selection activeCell="E14" sqref="E14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8">
        <v>1110.21</v>
      </c>
      <c r="C2" s="4">
        <v>7</v>
      </c>
      <c r="D2" s="4" t="s">
        <v>46</v>
      </c>
      <c r="E2" t="s">
        <v>17</v>
      </c>
    </row>
    <row r="3" spans="1:7" ht="14.25">
      <c r="A3" s="4" t="s">
        <v>6</v>
      </c>
      <c r="B3" s="8">
        <f>AVERAGE(Database!$P$3:$P$14)</f>
        <v>89.470000000000013</v>
      </c>
      <c r="C3" s="4">
        <v>5</v>
      </c>
      <c r="E3" t="s">
        <v>17</v>
      </c>
    </row>
    <row r="4" spans="1:7" ht="14.25">
      <c r="A4" s="4" t="s">
        <v>7</v>
      </c>
      <c r="B4" s="8">
        <f>AVERAGE(Database!$S$3:$S$14)</f>
        <v>217.99333333333331</v>
      </c>
      <c r="C4" s="4">
        <v>11</v>
      </c>
      <c r="E4" t="s">
        <v>17</v>
      </c>
    </row>
    <row r="5" spans="1:7" ht="14.25">
      <c r="A5" s="4" t="s">
        <v>47</v>
      </c>
      <c r="B5" s="8">
        <v>55.9</v>
      </c>
      <c r="C5" s="4">
        <v>30</v>
      </c>
      <c r="D5" s="4" t="s">
        <v>48</v>
      </c>
      <c r="E5" t="s">
        <v>17</v>
      </c>
    </row>
    <row r="6" spans="1:7" ht="15">
      <c r="A6" s="2" t="s">
        <v>49</v>
      </c>
      <c r="B6" s="5">
        <v>50</v>
      </c>
      <c r="C6" s="4">
        <v>10</v>
      </c>
      <c r="E6">
        <f ca="1">VLOOKUP(Database!$B$3,Database!$I$3:$J$14,2,0)</f>
        <v>0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E7" t="s">
        <v>17</v>
      </c>
      <c r="F7" s="4"/>
      <c r="G7" s="1"/>
    </row>
    <row r="8" spans="1:7" ht="14.25">
      <c r="A8" s="4" t="s">
        <v>5</v>
      </c>
      <c r="B8" s="8">
        <v>0</v>
      </c>
      <c r="C8" s="4">
        <v>30</v>
      </c>
      <c r="E8">
        <f ca="1">VLOOKUP(Database!$B$3,Database!$L$3:$M$14,2,0)</f>
        <v>0</v>
      </c>
      <c r="F8" s="4"/>
    </row>
    <row r="9" spans="1:7" ht="15">
      <c r="A9" s="2" t="s">
        <v>52</v>
      </c>
      <c r="B9" s="5">
        <v>45</v>
      </c>
      <c r="C9" s="4">
        <v>2</v>
      </c>
      <c r="E9" t="s">
        <v>17</v>
      </c>
      <c r="F9" s="10"/>
    </row>
    <row r="10" spans="1:7" ht="14.25">
      <c r="A10" s="4" t="s">
        <v>53</v>
      </c>
      <c r="B10" s="8">
        <v>659.85</v>
      </c>
      <c r="C10" s="4">
        <v>21</v>
      </c>
      <c r="F10" s="10"/>
    </row>
    <row r="11" spans="1:7" ht="14.25">
      <c r="A11" s="4" t="s">
        <v>54</v>
      </c>
      <c r="B11" s="8">
        <v>0</v>
      </c>
      <c r="C11" s="4">
        <v>10</v>
      </c>
    </row>
    <row r="12" spans="1:7" ht="14.25">
      <c r="A12" s="4" t="s">
        <v>55</v>
      </c>
      <c r="B12" s="8">
        <v>0</v>
      </c>
      <c r="C12" s="4">
        <v>5</v>
      </c>
    </row>
    <row r="13" spans="1:7" ht="14.25">
      <c r="A13" s="4" t="s">
        <v>56</v>
      </c>
      <c r="B13" s="8">
        <v>10</v>
      </c>
      <c r="C13" s="4">
        <v>30</v>
      </c>
      <c r="D13" s="4" t="s">
        <v>57</v>
      </c>
    </row>
    <row r="14" spans="1:7" ht="14.25">
      <c r="A14" s="4" t="s">
        <v>58</v>
      </c>
      <c r="B14" s="8">
        <v>60</v>
      </c>
      <c r="C14" s="4">
        <v>20</v>
      </c>
      <c r="D14" s="4" t="s">
        <v>59</v>
      </c>
      <c r="E14" s="11" t="s">
        <v>17</v>
      </c>
    </row>
    <row r="15" spans="1:7" ht="14.25">
      <c r="A15" s="4" t="s">
        <v>60</v>
      </c>
      <c r="B15" s="8">
        <v>0</v>
      </c>
    </row>
    <row r="16" spans="1:7" ht="14.25">
      <c r="A16" s="4" t="s">
        <v>61</v>
      </c>
      <c r="B16" s="1">
        <v>284.57</v>
      </c>
      <c r="C16" s="4">
        <v>1</v>
      </c>
      <c r="E16" t="s">
        <v>17</v>
      </c>
    </row>
    <row r="17" spans="1:5" ht="14.25">
      <c r="A17" s="4" t="s">
        <v>62</v>
      </c>
      <c r="B17" s="1">
        <v>489</v>
      </c>
      <c r="E17" t="s">
        <v>17</v>
      </c>
    </row>
    <row r="18" spans="1:5" ht="14.25">
      <c r="A18" s="4" t="s">
        <v>63</v>
      </c>
      <c r="B18" s="1">
        <v>743</v>
      </c>
      <c r="E18" t="s">
        <v>17</v>
      </c>
    </row>
    <row r="19" spans="1:5" ht="14.25">
      <c r="A19" s="4" t="s">
        <v>64</v>
      </c>
      <c r="B19" s="1">
        <v>500</v>
      </c>
      <c r="E19" t="s">
        <v>17</v>
      </c>
    </row>
    <row r="20" spans="1:5" ht="14.25">
      <c r="A20" s="4" t="s">
        <v>66</v>
      </c>
      <c r="B20" s="1">
        <v>44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workbookViewId="0">
      <selection activeCell="F2" activeCellId="1" sqref="E6 F2"/>
    </sheetView>
  </sheetViews>
  <sheetFormatPr defaultRowHeight="12.75"/>
  <cols>
    <col min="1" max="1" width="24.5703125" customWidth="1"/>
    <col min="2" max="3" width="12.140625" customWidth="1"/>
    <col min="4" max="4" width="18.285156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22</v>
      </c>
      <c r="F1" s="4" t="s">
        <v>2</v>
      </c>
      <c r="G1" s="4" t="s">
        <v>3</v>
      </c>
      <c r="I1" s="25" t="s">
        <v>4</v>
      </c>
      <c r="J1" s="25"/>
      <c r="L1" s="26" t="s">
        <v>5</v>
      </c>
      <c r="M1" s="26"/>
      <c r="O1" s="25" t="s">
        <v>6</v>
      </c>
      <c r="P1" s="25"/>
      <c r="R1" s="25" t="s">
        <v>7</v>
      </c>
      <c r="S1" s="25"/>
      <c r="U1" s="26" t="s">
        <v>8</v>
      </c>
      <c r="V1" s="26"/>
    </row>
    <row r="2" spans="1:22" ht="15">
      <c r="A2" t="s">
        <v>9</v>
      </c>
      <c r="B2">
        <f ca="1">MONTH(TODAY())+1</f>
        <v>6</v>
      </c>
      <c r="D2" s="2" t="s">
        <v>10</v>
      </c>
      <c r="F2" s="5">
        <f ca="1">25*E1</f>
        <v>550</v>
      </c>
      <c r="G2" s="5"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Jun</v>
      </c>
      <c r="D3" s="2" t="s">
        <v>15</v>
      </c>
      <c r="F3" s="5">
        <f ca="1">(4.4*2)*E1</f>
        <v>193.60000000000002</v>
      </c>
      <c r="G3" s="5">
        <v>0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9">
        <f ca="1">DAY(EOMONTH(TODAY()+1,0))</f>
        <v>30</v>
      </c>
      <c r="D4" s="2" t="s">
        <v>19</v>
      </c>
      <c r="F4" s="5">
        <f ca="1">F2+F3</f>
        <v>743.6</v>
      </c>
      <c r="G4" s="5">
        <f>G2+G3</f>
        <v>0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22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65</v>
      </c>
      <c r="E6" s="22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4.25">
      <c r="A8" s="4" t="s">
        <v>25</v>
      </c>
      <c r="B8" s="8">
        <v>5600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4.25">
      <c r="A9" s="4" t="s">
        <v>27</v>
      </c>
      <c r="B9" s="1">
        <f>B8/30</f>
        <v>186.66666666666666</v>
      </c>
      <c r="I9" t="s">
        <v>28</v>
      </c>
      <c r="L9" t="s">
        <v>28</v>
      </c>
      <c r="O9" t="s">
        <v>28</v>
      </c>
      <c r="P9" s="7"/>
      <c r="R9" t="s">
        <v>28</v>
      </c>
      <c r="S9" s="7"/>
      <c r="U9" t="s">
        <v>28</v>
      </c>
    </row>
    <row r="10" spans="1:22" ht="14.25">
      <c r="A10" s="8" t="s">
        <v>29</v>
      </c>
      <c r="B10" s="1">
        <f>B9/8</f>
        <v>23.333333333333332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Database!$B$8-$F$4-E6</f>
        <v>4256.3999999999996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$B$13+$B$12</f>
        <v>4256.3999999999996</v>
      </c>
    </row>
    <row r="16" spans="1:22" ht="15">
      <c r="A16" s="4" t="s">
        <v>37</v>
      </c>
      <c r="B16" s="1">
        <f ca="1">B15*0.6</f>
        <v>2553.8399999999997</v>
      </c>
      <c r="D16" s="4"/>
      <c r="G16" s="3"/>
    </row>
    <row r="17" spans="1:5" ht="14.25">
      <c r="A17" s="4" t="s">
        <v>38</v>
      </c>
      <c r="B17" s="8">
        <f>SUM(Despesas!$B$2:$B$999)</f>
        <v>4478.9933333333338</v>
      </c>
      <c r="D17" s="4"/>
      <c r="E17" s="23"/>
    </row>
    <row r="18" spans="1:5" ht="14.25">
      <c r="A18" t="s">
        <v>39</v>
      </c>
      <c r="B18" s="1">
        <f ca="1">B15-B17</f>
        <v>-222.59333333333416</v>
      </c>
      <c r="D18" s="4"/>
      <c r="E18" s="24"/>
    </row>
    <row r="19" spans="1:5" ht="14.25">
      <c r="A19" s="4" t="s">
        <v>40</v>
      </c>
      <c r="B19" s="9">
        <f ca="1">B17/B15</f>
        <v>1.0522961501112054</v>
      </c>
    </row>
    <row r="20" spans="1:5" ht="14.25">
      <c r="A20" s="4" t="s">
        <v>41</v>
      </c>
      <c r="B20" s="1">
        <f ca="1">(B15-B17)*0.2</f>
        <v>-44.518666666666832</v>
      </c>
      <c r="D20" s="21"/>
    </row>
    <row r="21" spans="1:5" ht="14.25">
      <c r="A21" s="4" t="s">
        <v>39</v>
      </c>
      <c r="B21" s="1">
        <f ca="1">(B15-B17)-B20</f>
        <v>-178.07466666666733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2">
        <v>44197</v>
      </c>
    </row>
    <row r="2" spans="1:1" ht="14.25">
      <c r="A2" s="13">
        <v>44242</v>
      </c>
    </row>
    <row r="3" spans="1:1" ht="14.25">
      <c r="A3" s="14">
        <v>44243</v>
      </c>
    </row>
    <row r="4" spans="1:1" ht="14.25">
      <c r="A4" s="15">
        <v>44288</v>
      </c>
    </row>
    <row r="5" spans="1:1" ht="14.25">
      <c r="A5" s="16">
        <v>44307</v>
      </c>
    </row>
    <row r="6" spans="1:1" ht="14.25">
      <c r="A6" s="15">
        <v>44317</v>
      </c>
    </row>
    <row r="7" spans="1:1" ht="14.25">
      <c r="A7" s="16">
        <v>44350</v>
      </c>
    </row>
    <row r="8" spans="1:1" ht="14.25">
      <c r="A8" s="15">
        <v>44446</v>
      </c>
    </row>
    <row r="9" spans="1:1" ht="14.25">
      <c r="A9" s="16">
        <v>44481</v>
      </c>
    </row>
    <row r="10" spans="1:1" ht="14.25">
      <c r="A10" s="15">
        <v>44502</v>
      </c>
    </row>
    <row r="11" spans="1:1" ht="15">
      <c r="A11" s="17">
        <v>44150</v>
      </c>
    </row>
    <row r="12" spans="1:1" ht="15">
      <c r="A12" s="17">
        <v>44190</v>
      </c>
    </row>
    <row r="13" spans="1:1" ht="14.25">
      <c r="A13" s="18">
        <v>44561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Cordeiro</cp:lastModifiedBy>
  <cp:revision>5</cp:revision>
  <dcterms:created xsi:type="dcterms:W3CDTF">2022-02-23T01:04:37Z</dcterms:created>
  <dcterms:modified xsi:type="dcterms:W3CDTF">2022-05-31T16:52:26Z</dcterms:modified>
</cp:coreProperties>
</file>