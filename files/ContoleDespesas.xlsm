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 Cordeiro\projetos\personal\shares\files\"/>
    </mc:Choice>
  </mc:AlternateContent>
  <xr:revisionPtr revIDLastSave="0" documentId="13_ncr:1_{0161E570-C529-4887-A33E-56FA9113173A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dashboard" sheetId="1" r:id="rId1"/>
    <sheet name="Despesas" sheetId="3" r:id="rId2"/>
    <sheet name="Database" sheetId="2" r:id="rId3"/>
    <sheet name="Feriados" sheetId="4" r:id="rId4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2" l="1"/>
  <c r="B3" i="2" s="1"/>
  <c r="B4" i="2"/>
  <c r="B3" i="3"/>
  <c r="B4" i="3"/>
  <c r="B10" i="2"/>
  <c r="B9" i="2"/>
  <c r="B1" i="2"/>
  <c r="B17" i="2" l="1"/>
  <c r="B5" i="2"/>
  <c r="E1" i="2" s="1"/>
  <c r="E8" i="3"/>
  <c r="E6" i="3"/>
  <c r="F3" i="2" l="1"/>
  <c r="F2" i="2"/>
  <c r="G4" i="2" l="1"/>
  <c r="F4" i="2"/>
  <c r="B12" i="2" l="1"/>
  <c r="B15" i="2" l="1"/>
  <c r="B19" i="2" l="1"/>
  <c r="B18" i="2"/>
  <c r="B20" i="2"/>
  <c r="B21" i="2" s="1"/>
  <c r="B16" i="2"/>
</calcChain>
</file>

<file path=xl/sharedStrings.xml><?xml version="1.0" encoding="utf-8"?>
<sst xmlns="http://schemas.openxmlformats.org/spreadsheetml/2006/main" count="147" uniqueCount="67">
  <si>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</si>
  <si>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</si>
  <si>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</si>
  <si>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</si>
  <si>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</si>
  <si>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</si>
  <si>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</si>
  <si>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</si>
  <si>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</si>
  <si>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</si>
  <si>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</si>
  <si>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</si>
  <si>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</si>
  <si>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</si>
  <si>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</si>
  <si>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</si>
  <si>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</si>
  <si>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</si>
  <si>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</si>
  <si>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</si>
  <si>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</si>
  <si>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</si>
  <si>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</si>
  <si>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</si>
  <si>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</si>
  <si>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</si>
  <si>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</si>
  <si>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</si>
  <si>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</si>
  <si>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</si>
  <si>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</si>
  <si>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</si>
  <si>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</si>
  <si>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</si>
  <si>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</si>
  <si>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</si>
  <si>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</si>
  <si>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</si>
  <si>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</si>
  <si>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</si>
  <si>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</si>
  <si>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</si>
  <si>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</si>
  <si>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</si>
  <si>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</si>
  <si>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</si>
  <si>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</si>
  <si>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Netflix</t>
  </si>
  <si>
    <t>Debito automatico C6</t>
  </si>
  <si>
    <t>raizes</t>
  </si>
  <si>
    <t>celulares</t>
  </si>
  <si>
    <t>Pagar via C6</t>
  </si>
  <si>
    <t>itau</t>
  </si>
  <si>
    <t>Emprestimos</t>
  </si>
  <si>
    <t>Facu digo</t>
  </si>
  <si>
    <t>internet</t>
  </si>
  <si>
    <t>Yui</t>
  </si>
  <si>
    <t>Amazon</t>
  </si>
  <si>
    <t>Cartão de credito c6</t>
  </si>
  <si>
    <t>DAS mei</t>
  </si>
  <si>
    <t>Aplicativo MaisMei</t>
  </si>
  <si>
    <t>axe</t>
  </si>
  <si>
    <t>Credito C6</t>
  </si>
  <si>
    <t>Credito Nu digo</t>
  </si>
  <si>
    <t>Credito Nu yah</t>
  </si>
  <si>
    <t xml:space="preserve">Limite Santander </t>
  </si>
  <si>
    <t>Mistura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</si>
</sst>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0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2" borderId="0"/>
    <xf numFmtId="0" fontId="4" fillId="3" borderId="0"/>
    <xf numFmtId="0" fontId="2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14" fillId="8" borderId="1"/>
    <xf numFmtId="0" fontId="15" fillId="0" borderId="0"/>
    <xf numFmtId="0" fontId="2" fillId="0" borderId="0"/>
    <xf numFmtId="0" fontId="2" fillId="0" borderId="0"/>
    <xf numFmtId="0" fontId="5" fillId="0" borderId="0"/>
    <xf numFmtId="44" fontId="2" fillId="0" borderId="0" applyFont="0" applyFill="0" applyBorder="0" applyAlignment="0" applyProtection="0"/>
  </cellStyleXfs>
  <cellXfs count="27">
    <xf numFmtId="0" fontId="0" fillId="0" borderId="0" xfId="0"/>
    <xf numFmtId="167" fontId="16" fillId="0" borderId="0" xfId="0" applyNumberFormat="1" applyFont="1"/>
    <xf numFmtId="0" fontId="17" fillId="0" borderId="0" xfId="0" applyFont="1" applyAlignment="1"/>
    <xf numFmtId="0" fontId="17" fillId="0" borderId="0" xfId="0" applyFont="1" applyAlignment="1">
      <alignment horizontal="right"/>
    </xf>
    <xf numFmtId="0" fontId="16" fillId="0" borderId="0" xfId="0" applyFont="1" applyAlignment="1"/>
    <xf numFmtId="167" fontId="17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67" fontId="16" fillId="0" borderId="0" xfId="0" applyNumberFormat="1" applyFont="1" applyAlignment="1"/>
    <xf numFmtId="10" fontId="16" fillId="0" borderId="0" xfId="0" applyNumberFormat="1" applyFont="1"/>
    <xf numFmtId="0" fontId="16" fillId="0" borderId="0" xfId="0" applyFont="1"/>
    <xf numFmtId="0" fontId="0" fillId="0" borderId="0" xfId="0" applyAlignment="1">
      <alignment horizontal="left"/>
    </xf>
    <xf numFmtId="164" fontId="18" fillId="9" borderId="0" xfId="0" applyNumberFormat="1" applyFont="1" applyFill="1" applyAlignment="1">
      <alignment horizontal="right"/>
    </xf>
    <xf numFmtId="164" fontId="18" fillId="10" borderId="0" xfId="0" applyNumberFormat="1" applyFont="1" applyFill="1" applyAlignment="1">
      <alignment horizontal="right"/>
    </xf>
    <xf numFmtId="165" fontId="18" fillId="10" borderId="0" xfId="0" applyNumberFormat="1" applyFont="1" applyFill="1" applyAlignment="1"/>
    <xf numFmtId="165" fontId="19" fillId="9" borderId="0" xfId="0" applyNumberFormat="1" applyFont="1" applyFill="1" applyAlignment="1">
      <alignment horizontal="right"/>
    </xf>
    <xf numFmtId="165" fontId="19" fillId="10" borderId="0" xfId="0" applyNumberFormat="1" applyFont="1" applyFill="1" applyAlignment="1">
      <alignment horizontal="right"/>
    </xf>
    <xf numFmtId="165" fontId="17" fillId="0" borderId="0" xfId="0" applyNumberFormat="1" applyFont="1" applyAlignment="1">
      <alignment horizontal="right"/>
    </xf>
    <xf numFmtId="166" fontId="16" fillId="0" borderId="0" xfId="0" applyNumberFormat="1" applyFont="1" applyAlignment="1"/>
    <xf numFmtId="170" fontId="0" fillId="0" borderId="0" xfId="1" applyNumberFormat="1" applyFont="1"/>
    <xf numFmtId="0" fontId="0" fillId="0" borderId="0" xfId="0" applyFont="1"/>
    <xf numFmtId="171" fontId="0" fillId="0" borderId="0" xfId="0" applyNumberFormat="1"/>
    <xf numFmtId="44" fontId="0" fillId="0" borderId="0" xfId="20" applyFont="1"/>
    <xf numFmtId="1" fontId="16" fillId="0" borderId="0" xfId="0" applyNumberFormat="1" applyFont="1"/>
    <xf numFmtId="1" fontId="16" fillId="0" borderId="0" xfId="0" applyNumberFormat="1" applyFont="1" applyAlignment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21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Moeda" xfId="20" builtinId="4"/>
    <cellStyle name="Neutral" xfId="14" xr:uid="{00000000-0005-0000-0000-00000C000000}"/>
    <cellStyle name="Normal" xfId="0" builtinId="0" customBuiltin="1"/>
    <cellStyle name="Note" xfId="15" xr:uid="{00000000-0005-0000-0000-00000E000000}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4290.2</c:v>
                </c:pt>
                <c:pt idx="1">
                  <c:v>4478.1060000000007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</xdr:row>
      <xdr:rowOff>28575</xdr:rowOff>
    </xdr:from>
    <xdr:to>
      <xdr:col>4</xdr:col>
      <xdr:colOff>238125</xdr:colOff>
      <xdr:row>17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91D6A93-12CE-444B-B2E1-D046DE669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00"/>
  <sheetViews>
    <sheetView workbookViewId="0">
      <selection activeCell="H19" sqref="H19"/>
    </sheetView>
  </sheetViews>
  <sheetFormatPr defaultRowHeight="15.75" customHeight="1"/>
  <cols>
    <col min="1" max="1" width="22.85546875" customWidth="1"/>
    <col min="2" max="3" width="15.28515625" customWidth="1"/>
    <col min="4" max="4" width="17" customWidth="1"/>
    <col min="5" max="1024" width="15.28515625" customWidth="1"/>
  </cols>
  <sheetData>
    <row r="1" spans="1:2" ht="12.75">
      <c r="A1" s="20"/>
    </row>
    <row r="2" spans="1:2" ht="12.75"/>
    <row r="3" spans="1:2" ht="12.75"/>
    <row r="4" spans="1:2" ht="12.75"/>
    <row r="5" spans="1:2" ht="12.75"/>
    <row r="6" spans="1:2" ht="12.75"/>
    <row r="7" spans="1:2" ht="12.75"/>
    <row r="8" spans="1:2" ht="12.75"/>
    <row r="9" spans="1:2" ht="12.75"/>
    <row r="10" spans="1:2" ht="12.75"/>
    <row r="12" spans="1:2" ht="14.25">
      <c r="B12" s="1"/>
    </row>
    <row r="13" spans="1:2" ht="14.25">
      <c r="B13" s="1"/>
    </row>
    <row r="14" spans="1:2" ht="14.25">
      <c r="B14" s="1"/>
    </row>
    <row r="15" spans="1:2" ht="14.25">
      <c r="B15" s="1"/>
    </row>
    <row r="16" spans="1:2" ht="14.25">
      <c r="B16" s="1"/>
    </row>
    <row r="17" spans="2:2" ht="14.25">
      <c r="B17" s="1"/>
    </row>
    <row r="18" spans="2:2" ht="14.25">
      <c r="B18" s="1"/>
    </row>
    <row r="19" spans="2:2" ht="14.25">
      <c r="B19" s="1"/>
    </row>
    <row r="20" spans="2:2" ht="14.25">
      <c r="B20" s="1"/>
    </row>
    <row r="21" spans="2:2" ht="14.25">
      <c r="B21" s="1"/>
    </row>
    <row r="22" spans="2:2" ht="14.25">
      <c r="B22" s="1"/>
    </row>
    <row r="23" spans="2:2" ht="14.25">
      <c r="B23" s="1"/>
    </row>
    <row r="24" spans="2:2" ht="14.25">
      <c r="B24" s="1"/>
    </row>
    <row r="25" spans="2:2" ht="14.25">
      <c r="B25" s="1"/>
    </row>
    <row r="26" spans="2:2" ht="14.25">
      <c r="B26" s="1"/>
    </row>
    <row r="27" spans="2:2" ht="14.25">
      <c r="B27" s="1"/>
    </row>
    <row r="28" spans="2:2" ht="14.25">
      <c r="B28" s="1"/>
    </row>
    <row r="29" spans="2:2" ht="14.25">
      <c r="B29" s="1"/>
    </row>
    <row r="30" spans="2:2" ht="14.25">
      <c r="B30" s="1"/>
    </row>
    <row r="31" spans="2:2" ht="14.25">
      <c r="B31" s="1"/>
    </row>
    <row r="32" spans="2:2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  <row r="1000" spans="2:2" ht="14.25">
      <c r="B1000" s="1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000"/>
  <sheetViews>
    <sheetView workbookViewId="0">
      <selection activeCell="B19" sqref="B19"/>
    </sheetView>
  </sheetViews>
  <sheetFormatPr defaultRowHeight="15.75" customHeight="1"/>
  <cols>
    <col min="1" max="3" width="15.28515625" customWidth="1"/>
    <col min="4" max="4" width="22.28515625" customWidth="1"/>
    <col min="5" max="1024" width="15.28515625" customWidth="1"/>
  </cols>
  <sheetData>
    <row r="1" spans="1:7" ht="14.25">
      <c r="A1" s="4" t="s">
        <v>42</v>
      </c>
      <c r="B1" s="8" t="s">
        <v>13</v>
      </c>
      <c r="C1" s="4" t="s">
        <v>43</v>
      </c>
      <c r="D1" s="4" t="s">
        <v>44</v>
      </c>
      <c r="E1" t="s">
        <v>12</v>
      </c>
    </row>
    <row r="2" spans="1:7" ht="14.25">
      <c r="A2" s="4" t="s">
        <v>45</v>
      </c>
      <c r="B2" s="8">
        <v>1100</v>
      </c>
      <c r="C2" s="4">
        <v>7</v>
      </c>
      <c r="D2" s="4" t="s">
        <v>46</v>
      </c>
      <c r="E2" t="s">
        <v>17</v>
      </c>
    </row>
    <row r="3" spans="1:7" ht="14.25">
      <c r="A3" s="4" t="s">
        <v>6</v>
      </c>
      <c r="B3" s="8">
        <f>AVERAGE(Database!$P$3:$P$14)</f>
        <v>64.27000000000001</v>
      </c>
      <c r="C3" s="4">
        <v>5</v>
      </c>
      <c r="E3" t="s">
        <v>17</v>
      </c>
    </row>
    <row r="4" spans="1:7" ht="14.25">
      <c r="A4" s="4" t="s">
        <v>7</v>
      </c>
      <c r="B4" s="8">
        <f>AVERAGE(Database!$S$3:$S$14)</f>
        <v>234.27599999999998</v>
      </c>
      <c r="C4" s="4">
        <v>11</v>
      </c>
      <c r="E4" t="s">
        <v>17</v>
      </c>
    </row>
    <row r="5" spans="1:7" ht="14.25">
      <c r="A5" s="4" t="s">
        <v>47</v>
      </c>
      <c r="B5" s="8">
        <v>55.9</v>
      </c>
      <c r="C5" s="4">
        <v>30</v>
      </c>
      <c r="D5" s="4" t="s">
        <v>48</v>
      </c>
    </row>
    <row r="6" spans="1:7" ht="15">
      <c r="A6" s="2" t="s">
        <v>49</v>
      </c>
      <c r="B6" s="5">
        <v>50</v>
      </c>
      <c r="C6" s="4">
        <v>10</v>
      </c>
      <c r="E6">
        <f ca="1">VLOOKUP(Database!$B$3,Database!$I$3:$J$14,2,0)</f>
        <v>0</v>
      </c>
    </row>
    <row r="7" spans="1:7" ht="15">
      <c r="A7" s="2" t="s">
        <v>50</v>
      </c>
      <c r="B7" s="5">
        <v>120</v>
      </c>
      <c r="C7" s="4">
        <v>8</v>
      </c>
      <c r="D7" s="4" t="s">
        <v>51</v>
      </c>
      <c r="E7" t="s">
        <v>17</v>
      </c>
      <c r="F7" s="4"/>
      <c r="G7" s="1"/>
    </row>
    <row r="8" spans="1:7" ht="14.25">
      <c r="A8" s="4" t="s">
        <v>5</v>
      </c>
      <c r="B8" s="8">
        <v>150</v>
      </c>
      <c r="C8" s="4">
        <v>30</v>
      </c>
      <c r="E8">
        <f ca="1">VLOOKUP(Database!$B$3,Database!$L$3:$M$14,2,0)</f>
        <v>0</v>
      </c>
      <c r="F8" s="4"/>
    </row>
    <row r="9" spans="1:7" ht="15">
      <c r="A9" s="2" t="s">
        <v>52</v>
      </c>
      <c r="B9" s="5">
        <v>45</v>
      </c>
      <c r="C9" s="4">
        <v>2</v>
      </c>
      <c r="E9" t="s">
        <v>17</v>
      </c>
      <c r="F9" s="10"/>
    </row>
    <row r="10" spans="1:7" ht="14.25">
      <c r="A10" s="4" t="s">
        <v>53</v>
      </c>
      <c r="B10" s="8">
        <v>659.85</v>
      </c>
      <c r="C10" s="4">
        <v>21</v>
      </c>
      <c r="F10" s="10"/>
    </row>
    <row r="11" spans="1:7" ht="14.25">
      <c r="A11" s="4" t="s">
        <v>54</v>
      </c>
      <c r="B11" s="8">
        <v>0</v>
      </c>
      <c r="C11" s="4">
        <v>10</v>
      </c>
    </row>
    <row r="12" spans="1:7" ht="14.25">
      <c r="A12" s="4" t="s">
        <v>55</v>
      </c>
      <c r="B12" s="8">
        <v>100</v>
      </c>
      <c r="C12" s="4">
        <v>10</v>
      </c>
    </row>
    <row r="13" spans="1:7" ht="14.25">
      <c r="A13" s="4" t="s">
        <v>56</v>
      </c>
      <c r="B13" s="8">
        <v>0</v>
      </c>
      <c r="C13" s="4">
        <v>5</v>
      </c>
    </row>
    <row r="14" spans="1:7" ht="14.25">
      <c r="A14" s="4" t="s">
        <v>57</v>
      </c>
      <c r="B14" s="8">
        <v>10</v>
      </c>
      <c r="C14" s="4">
        <v>30</v>
      </c>
      <c r="D14" s="4" t="s">
        <v>58</v>
      </c>
      <c r="E14" t="s">
        <v>17</v>
      </c>
    </row>
    <row r="15" spans="1:7" ht="14.25">
      <c r="A15" s="4" t="s">
        <v>59</v>
      </c>
      <c r="B15" s="8">
        <v>60</v>
      </c>
      <c r="C15" s="4">
        <v>20</v>
      </c>
      <c r="D15" s="4" t="s">
        <v>60</v>
      </c>
      <c r="E15" s="11"/>
    </row>
    <row r="16" spans="1:7" ht="14.25">
      <c r="A16" s="4" t="s">
        <v>61</v>
      </c>
      <c r="B16" s="8">
        <v>0</v>
      </c>
    </row>
    <row r="17" spans="1:5" ht="14.25">
      <c r="A17" s="4" t="s">
        <v>62</v>
      </c>
      <c r="B17" s="1">
        <v>294.67</v>
      </c>
      <c r="C17" s="4">
        <v>1</v>
      </c>
      <c r="E17" t="s">
        <v>17</v>
      </c>
    </row>
    <row r="18" spans="1:5" ht="14.25">
      <c r="A18" s="4" t="s">
        <v>63</v>
      </c>
      <c r="B18" s="1">
        <v>319.73</v>
      </c>
    </row>
    <row r="19" spans="1:5" ht="14.25">
      <c r="A19" s="4" t="s">
        <v>64</v>
      </c>
      <c r="B19" s="1">
        <v>724</v>
      </c>
    </row>
    <row r="20" spans="1:5" ht="14.25">
      <c r="A20" s="4" t="s">
        <v>65</v>
      </c>
      <c r="B20" s="1">
        <v>490.41</v>
      </c>
      <c r="E20" t="s">
        <v>17</v>
      </c>
    </row>
    <row r="21" spans="1:5" ht="14.25">
      <c r="B21" s="1"/>
    </row>
    <row r="22" spans="1:5" ht="14.25">
      <c r="B22" s="1"/>
    </row>
    <row r="23" spans="1:5" ht="14.25">
      <c r="B23" s="1"/>
    </row>
    <row r="24" spans="1:5" ht="14.25">
      <c r="B24" s="1"/>
    </row>
    <row r="25" spans="1:5" ht="14.25">
      <c r="B25" s="1"/>
    </row>
    <row r="26" spans="1:5" ht="14.25">
      <c r="B26" s="1"/>
    </row>
    <row r="27" spans="1:5" ht="14.25">
      <c r="B27" s="1"/>
    </row>
    <row r="28" spans="1:5" ht="14.25">
      <c r="B28" s="1"/>
    </row>
    <row r="29" spans="1:5" ht="14.25">
      <c r="B29" s="1"/>
    </row>
    <row r="30" spans="1:5" ht="14.25">
      <c r="B30" s="1"/>
    </row>
    <row r="31" spans="1:5" ht="14.25">
      <c r="B31" s="1"/>
    </row>
    <row r="32" spans="1:5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  <row r="1000" spans="2:2" ht="14.25">
      <c r="B1000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203" verticalDpi="20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1"/>
  <sheetViews>
    <sheetView tabSelected="1" workbookViewId="0">
      <selection activeCell="F2" activeCellId="1" sqref="E6 F2"/>
    </sheetView>
  </sheetViews>
  <sheetFormatPr defaultRowHeight="12.75"/>
  <cols>
    <col min="1" max="1" width="24.5703125" customWidth="1"/>
    <col min="2" max="3" width="12.140625" customWidth="1"/>
    <col min="4" max="4" width="18.28515625" bestFit="1" customWidth="1"/>
    <col min="5" max="22" width="12.140625" customWidth="1"/>
  </cols>
  <sheetData>
    <row r="1" spans="1:22" ht="15">
      <c r="A1" t="s">
        <v>0</v>
      </c>
      <c r="B1">
        <f ca="1">YEAR(TODAY())</f>
        <v>2022</v>
      </c>
      <c r="D1" s="2" t="s">
        <v>1</v>
      </c>
      <c r="E1" s="3">
        <f ca="1">$B$5</f>
        <v>21</v>
      </c>
      <c r="F1" s="4" t="s">
        <v>2</v>
      </c>
      <c r="G1" s="4" t="s">
        <v>3</v>
      </c>
      <c r="I1" s="25" t="s">
        <v>4</v>
      </c>
      <c r="J1" s="25"/>
      <c r="L1" s="26" t="s">
        <v>5</v>
      </c>
      <c r="M1" s="26"/>
      <c r="O1" s="25" t="s">
        <v>6</v>
      </c>
      <c r="P1" s="25"/>
      <c r="R1" s="25" t="s">
        <v>7</v>
      </c>
      <c r="S1" s="25"/>
      <c r="U1" s="26" t="s">
        <v>8</v>
      </c>
      <c r="V1" s="26"/>
    </row>
    <row r="2" spans="1:22" ht="15">
      <c r="A2" t="s">
        <v>9</v>
      </c>
      <c r="B2">
        <f ca="1">MONTH(TODAY())+1</f>
        <v>5</v>
      </c>
      <c r="D2" s="2" t="s">
        <v>10</v>
      </c>
      <c r="F2" s="5">
        <f ca="1">25*E1</f>
        <v>525</v>
      </c>
      <c r="G2" s="5">
        <v>0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5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Mai</v>
      </c>
      <c r="D3" s="2" t="s">
        <v>15</v>
      </c>
      <c r="F3" s="5">
        <f ca="1">(4.4*2)*E1</f>
        <v>184.8</v>
      </c>
      <c r="G3" s="5">
        <v>0</v>
      </c>
      <c r="I3" t="s">
        <v>16</v>
      </c>
      <c r="J3" s="6" t="s">
        <v>17</v>
      </c>
      <c r="L3" t="s">
        <v>16</v>
      </c>
      <c r="M3" t="s">
        <v>17</v>
      </c>
      <c r="O3" t="s">
        <v>16</v>
      </c>
      <c r="P3" s="7">
        <v>94.79</v>
      </c>
      <c r="R3" t="s">
        <v>16</v>
      </c>
      <c r="S3" s="7">
        <v>32.61</v>
      </c>
      <c r="U3" t="s">
        <v>16</v>
      </c>
      <c r="V3" t="s">
        <v>17</v>
      </c>
    </row>
    <row r="4" spans="1:22" ht="15">
      <c r="A4" t="s">
        <v>18</v>
      </c>
      <c r="B4" s="19">
        <f ca="1">DAY(EOMONTH(TODAY()+1,0))</f>
        <v>30</v>
      </c>
      <c r="D4" s="2" t="s">
        <v>19</v>
      </c>
      <c r="F4" s="5">
        <f ca="1">F2+F3</f>
        <v>709.8</v>
      </c>
      <c r="G4" s="5">
        <f>G2+G3</f>
        <v>0</v>
      </c>
      <c r="I4" t="s">
        <v>20</v>
      </c>
      <c r="J4" s="6" t="s">
        <v>17</v>
      </c>
      <c r="L4" t="s">
        <v>20</v>
      </c>
      <c r="M4" t="s">
        <v>17</v>
      </c>
      <c r="O4" t="s">
        <v>20</v>
      </c>
      <c r="P4" s="7">
        <v>19.420000000000002</v>
      </c>
      <c r="R4" t="s">
        <v>20</v>
      </c>
      <c r="S4" s="7">
        <v>453.3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21</v>
      </c>
      <c r="I5" t="s">
        <v>22</v>
      </c>
      <c r="J5" t="s">
        <v>17</v>
      </c>
      <c r="L5" t="s">
        <v>22</v>
      </c>
      <c r="M5" t="s">
        <v>17</v>
      </c>
      <c r="O5" t="s">
        <v>22</v>
      </c>
      <c r="P5" s="7">
        <v>75.459999999999994</v>
      </c>
      <c r="R5" t="s">
        <v>22</v>
      </c>
      <c r="S5" s="7">
        <v>249.87</v>
      </c>
      <c r="U5" t="s">
        <v>22</v>
      </c>
      <c r="V5" t="s">
        <v>17</v>
      </c>
    </row>
    <row r="6" spans="1:22" ht="15">
      <c r="D6" s="2" t="s">
        <v>66</v>
      </c>
      <c r="E6" s="22">
        <v>600</v>
      </c>
      <c r="I6" t="s">
        <v>23</v>
      </c>
      <c r="J6" t="s">
        <v>17</v>
      </c>
      <c r="L6" t="s">
        <v>23</v>
      </c>
      <c r="O6" t="s">
        <v>23</v>
      </c>
      <c r="P6" s="7">
        <v>67.41</v>
      </c>
      <c r="R6" t="s">
        <v>23</v>
      </c>
      <c r="S6" s="7">
        <v>276.05</v>
      </c>
      <c r="U6" t="s">
        <v>23</v>
      </c>
      <c r="V6" t="s">
        <v>17</v>
      </c>
    </row>
    <row r="7" spans="1:22">
      <c r="I7" t="s">
        <v>24</v>
      </c>
      <c r="L7" t="s">
        <v>24</v>
      </c>
      <c r="O7" t="s">
        <v>24</v>
      </c>
      <c r="P7" s="7"/>
      <c r="R7" t="s">
        <v>24</v>
      </c>
      <c r="S7" s="7">
        <v>159.55000000000001</v>
      </c>
      <c r="U7" t="s">
        <v>24</v>
      </c>
    </row>
    <row r="8" spans="1:22" ht="14.25">
      <c r="A8" s="4" t="s">
        <v>25</v>
      </c>
      <c r="B8" s="8">
        <v>5600</v>
      </c>
      <c r="I8" t="s">
        <v>26</v>
      </c>
      <c r="L8" t="s">
        <v>26</v>
      </c>
      <c r="O8" t="s">
        <v>26</v>
      </c>
      <c r="P8" s="7"/>
      <c r="R8" t="s">
        <v>26</v>
      </c>
      <c r="S8" s="7"/>
      <c r="U8" t="s">
        <v>26</v>
      </c>
    </row>
    <row r="9" spans="1:22" ht="14.25">
      <c r="A9" s="4" t="s">
        <v>27</v>
      </c>
      <c r="B9" s="1">
        <f>B8/30</f>
        <v>186.66666666666666</v>
      </c>
      <c r="I9" t="s">
        <v>28</v>
      </c>
      <c r="L9" t="s">
        <v>28</v>
      </c>
      <c r="O9" t="s">
        <v>28</v>
      </c>
      <c r="P9" s="7"/>
      <c r="R9" t="s">
        <v>28</v>
      </c>
      <c r="S9" s="7"/>
      <c r="U9" t="s">
        <v>28</v>
      </c>
    </row>
    <row r="10" spans="1:22" ht="14.25">
      <c r="A10" s="8" t="s">
        <v>29</v>
      </c>
      <c r="B10" s="1">
        <f>B9/8</f>
        <v>23.333333333333332</v>
      </c>
      <c r="I10" t="s">
        <v>30</v>
      </c>
      <c r="L10" t="s">
        <v>30</v>
      </c>
      <c r="O10" t="s">
        <v>30</v>
      </c>
      <c r="P10" s="7"/>
      <c r="R10" t="s">
        <v>30</v>
      </c>
      <c r="S10" s="7"/>
      <c r="U10" t="s">
        <v>30</v>
      </c>
    </row>
    <row r="11" spans="1:22">
      <c r="I11" t="s">
        <v>31</v>
      </c>
      <c r="L11" t="s">
        <v>31</v>
      </c>
      <c r="O11" t="s">
        <v>31</v>
      </c>
      <c r="P11" s="7"/>
      <c r="R11" t="s">
        <v>31</v>
      </c>
      <c r="S11" s="7"/>
      <c r="U11" t="s">
        <v>31</v>
      </c>
    </row>
    <row r="12" spans="1:22" ht="14.25">
      <c r="A12" s="4" t="s">
        <v>32</v>
      </c>
      <c r="B12" s="8">
        <f ca="1">Database!$B$8-$F$4-E6</f>
        <v>4290.2</v>
      </c>
      <c r="I12" t="s">
        <v>33</v>
      </c>
      <c r="L12" t="s">
        <v>33</v>
      </c>
      <c r="O12" t="s">
        <v>33</v>
      </c>
      <c r="P12" s="7"/>
      <c r="R12" t="s">
        <v>33</v>
      </c>
      <c r="S12" s="7"/>
      <c r="U12" t="s">
        <v>33</v>
      </c>
    </row>
    <row r="13" spans="1:22" ht="14.25">
      <c r="A13" s="4" t="s">
        <v>3</v>
      </c>
      <c r="B13" s="8">
        <v>0</v>
      </c>
      <c r="I13" t="s">
        <v>34</v>
      </c>
      <c r="L13" t="s">
        <v>34</v>
      </c>
      <c r="O13" t="s">
        <v>34</v>
      </c>
      <c r="P13" s="7"/>
      <c r="R13" t="s">
        <v>34</v>
      </c>
      <c r="S13" s="7"/>
      <c r="U13" t="s">
        <v>34</v>
      </c>
    </row>
    <row r="14" spans="1:22" ht="14.25">
      <c r="B14" s="1"/>
      <c r="I14" t="s">
        <v>35</v>
      </c>
      <c r="L14" t="s">
        <v>35</v>
      </c>
      <c r="O14" t="s">
        <v>35</v>
      </c>
      <c r="P14" s="7"/>
      <c r="R14" t="s">
        <v>35</v>
      </c>
      <c r="S14" s="7"/>
      <c r="U14" t="s">
        <v>35</v>
      </c>
    </row>
    <row r="15" spans="1:22" ht="14.25">
      <c r="A15" s="4" t="s">
        <v>36</v>
      </c>
      <c r="B15" s="1">
        <f ca="1">$B$13+$B$12</f>
        <v>4290.2</v>
      </c>
    </row>
    <row r="16" spans="1:22" ht="15">
      <c r="A16" s="4" t="s">
        <v>37</v>
      </c>
      <c r="B16" s="1">
        <f ca="1">B15*0.6</f>
        <v>2574.12</v>
      </c>
      <c r="D16" s="4"/>
      <c r="G16" s="3"/>
    </row>
    <row r="17" spans="1:5" ht="14.25">
      <c r="A17" s="4" t="s">
        <v>38</v>
      </c>
      <c r="B17" s="8">
        <f>SUM(Despesas!$B$2:$B$1000)</f>
        <v>4478.1060000000007</v>
      </c>
      <c r="D17" s="4"/>
      <c r="E17" s="23"/>
    </row>
    <row r="18" spans="1:5" ht="14.25">
      <c r="A18" t="s">
        <v>39</v>
      </c>
      <c r="B18" s="1">
        <f ca="1">B15-B17</f>
        <v>-187.90600000000086</v>
      </c>
      <c r="D18" s="4"/>
      <c r="E18" s="24"/>
    </row>
    <row r="19" spans="1:5" ht="14.25">
      <c r="A19" s="4" t="s">
        <v>40</v>
      </c>
      <c r="B19" s="9">
        <f ca="1">B17/B15</f>
        <v>1.0437988904946158</v>
      </c>
    </row>
    <row r="20" spans="1:5" ht="14.25">
      <c r="A20" s="4" t="s">
        <v>41</v>
      </c>
      <c r="B20" s="1">
        <f ca="1">(B15-B17)*0.2</f>
        <v>-37.581200000000173</v>
      </c>
      <c r="D20" s="21"/>
    </row>
    <row r="21" spans="1:5" ht="14.25">
      <c r="A21" s="4" t="s">
        <v>39</v>
      </c>
      <c r="B21" s="1">
        <f ca="1">(B15-B17)-B20</f>
        <v>-150.32480000000069</v>
      </c>
    </row>
  </sheetData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/>
  </sheetViews>
  <sheetFormatPr defaultRowHeight="15.75" customHeight="1"/>
  <cols>
    <col min="1" max="1024" width="15.28515625" customWidth="1"/>
  </cols>
  <sheetData>
    <row r="1" spans="1:1" ht="14.25">
      <c r="A1" s="12">
        <v>44197</v>
      </c>
    </row>
    <row r="2" spans="1:1" ht="14.25">
      <c r="A2" s="13">
        <v>44242</v>
      </c>
    </row>
    <row r="3" spans="1:1" ht="14.25">
      <c r="A3" s="14">
        <v>44243</v>
      </c>
    </row>
    <row r="4" spans="1:1" ht="14.25">
      <c r="A4" s="15">
        <v>44288</v>
      </c>
    </row>
    <row r="5" spans="1:1" ht="14.25">
      <c r="A5" s="16">
        <v>44307</v>
      </c>
    </row>
    <row r="6" spans="1:1" ht="14.25">
      <c r="A6" s="15">
        <v>44317</v>
      </c>
    </row>
    <row r="7" spans="1:1" ht="14.25">
      <c r="A7" s="16">
        <v>44350</v>
      </c>
    </row>
    <row r="8" spans="1:1" ht="14.25">
      <c r="A8" s="15">
        <v>44446</v>
      </c>
    </row>
    <row r="9" spans="1:1" ht="14.25">
      <c r="A9" s="16">
        <v>44481</v>
      </c>
    </row>
    <row r="10" spans="1:1" ht="14.25">
      <c r="A10" s="15">
        <v>44502</v>
      </c>
    </row>
    <row r="11" spans="1:1" ht="15">
      <c r="A11" s="17">
        <v>44150</v>
      </c>
    </row>
    <row r="12" spans="1:1" ht="15">
      <c r="A12" s="17">
        <v>44190</v>
      </c>
    </row>
    <row r="13" spans="1:1" ht="14.25">
      <c r="A13" s="18">
        <v>44561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Despesas</vt:lpstr>
      <vt:lpstr>Database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 Cordeiro</cp:lastModifiedBy>
  <cp:revision>5</cp:revision>
  <dcterms:created xsi:type="dcterms:W3CDTF">2022-02-23T01:04:37Z</dcterms:created>
  <dcterms:modified xsi:type="dcterms:W3CDTF">2022-04-29T16:40:06Z</dcterms:modified>
</cp:coreProperties>
</file>