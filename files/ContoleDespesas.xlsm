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mendonca\projetos\personal\shares\files\"/>
    </mc:Choice>
  </mc:AlternateContent>
  <xr:revisionPtr revIDLastSave="0" documentId="13_ncr:1_{71415B14-A207-41F2-BD5D-0CC520170ABF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2" l="1"/>
  <c r="B2" i="2"/>
  <c r="B3" i="2" s="1"/>
  <c r="B4" i="2"/>
  <c r="B3" i="3"/>
  <c r="B4" i="3"/>
  <c r="B1" i="2"/>
  <c r="B5" i="2" l="1"/>
  <c r="B9" i="2" s="1"/>
  <c r="B17" i="2"/>
  <c r="E1" i="2" l="1"/>
  <c r="G2" i="2" s="1"/>
  <c r="F2" i="2" l="1"/>
  <c r="F3" i="2"/>
  <c r="G3" i="2"/>
  <c r="G4" i="2" s="1"/>
  <c r="F4" i="2" l="1"/>
  <c r="B12" i="2" s="1"/>
  <c r="B15" i="2" l="1"/>
  <c r="B19" i="2" l="1"/>
  <c r="B18" i="2"/>
  <c r="B21" i="2" s="1"/>
  <c r="B16" i="2"/>
</calcChain>
</file>

<file path=xl/sharedStrings.xml><?xml version="1.0" encoding="utf-8"?>
<sst xmlns="http://schemas.openxmlformats.org/spreadsheetml/2006/main" count="149" uniqueCount="69">
  <si>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</si>
  <si>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</si>
  <si>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</si>
  <si>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</si>
  <si>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</si>
  <si>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</si>
  <si>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</si>
  <si>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</si>
  <si>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</si>
  <si>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</si>
  <si>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</si>
  <si>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</si>
  <si>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</si>
  <si>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</si>
  <si>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</si>
  <si>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</si>
  <si>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</si>
  <si>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</si>
  <si>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</si>
  <si>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</si>
  <si>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</si>
  <si>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</si>
  <si>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</si>
  <si>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</si>
  <si>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</si>
  <si>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</si>
  <si>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</si>
  <si>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</si>
  <si>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</si>
  <si>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</si>
  <si>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</si>
  <si>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</si>
  <si>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</si>
  <si>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</si>
  <si>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</si>
  <si>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</si>
  <si>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</si>
  <si>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</si>
  <si>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</si>
  <si>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</si>
  <si>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</si>
  <si>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</si>
  <si>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</si>
  <si>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</si>
  <si>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</si>
  <si>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</si>
  <si>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</si>
  <si>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</si>
  <si>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</si>
  <si>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</si>
  <si>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</si>
  <si>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</si>
  <si>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</si>
  <si>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</si>
  <si>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</si>
  <si>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</si>
  <si>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</si>
  <si>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</si>
  <si>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</si>
  <si>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</si>
  <si>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</si>
  <si>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</si>
  <si>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</si>
  <si>
    <t>Galão água</t>
  </si>
  <si>
    <t>Hostinger</t>
  </si>
  <si>
    <t>Plano anual. Vence em 11/23</t>
  </si>
  <si>
    <t>Youtube</t>
  </si>
  <si>
    <t>Gpay</t>
  </si>
  <si>
    <t>Cartão de credito nubank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</si>
</sst>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167" fontId="16" fillId="0" borderId="0" xfId="0" applyNumberFormat="1" applyFont="1"/>
    <xf numFmtId="0" fontId="17" fillId="0" borderId="0" xfId="0" applyFont="1"/>
    <xf numFmtId="0" fontId="17" fillId="0" borderId="0" xfId="0" applyFont="1" applyAlignment="1">
      <alignment horizontal="right"/>
    </xf>
    <xf numFmtId="0" fontId="16" fillId="0" borderId="0" xfId="0" applyFo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6" fillId="0" borderId="0" xfId="0" applyNumberFormat="1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67" fontId="0" fillId="0" borderId="0" xfId="0" applyNumberForma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  <a:r>
              <a:rPr lang="pt-BR" baseline="0"/>
              <a:t> X salário</a:t>
            </a:r>
            <a:endParaRPr lang="pt-BR"/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5822.6</c:v>
                </c:pt>
                <c:pt idx="1">
                  <c:v>5770.0195238095239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0.99096958812378033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0.99096958812378033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716530" cy="22764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1000"/>
  <sheetViews>
    <sheetView workbookViewId="0">
      <selection activeCell="G11" sqref="G11"/>
    </sheetView>
  </sheetViews>
  <sheetFormatPr defaultRowHeight="15.75" customHeight="1"/>
  <cols>
    <col min="1" max="1" width="22.88671875" customWidth="1"/>
    <col min="2" max="3" width="15.33203125" customWidth="1"/>
    <col min="4" max="4" width="17" customWidth="1"/>
    <col min="5" max="1024" width="15.33203125" customWidth="1"/>
  </cols>
  <sheetData>
    <row r="1" spans="2:2" ht="13.2"/>
    <row r="2" spans="2:2" ht="13.2"/>
    <row r="3" spans="2:2" ht="13.2"/>
    <row r="4" spans="2:2" ht="13.2"/>
    <row r="5" spans="2:2" ht="13.2"/>
    <row r="6" spans="2:2" ht="13.2"/>
    <row r="7" spans="2:2" ht="13.2"/>
    <row r="8" spans="2:2" ht="13.2"/>
    <row r="9" spans="2:2" ht="13.2"/>
    <row r="10" spans="2:2" ht="13.2"/>
    <row r="12" spans="2:2" ht="13.8">
      <c r="B12" s="1"/>
    </row>
    <row r="13" spans="2:2" ht="13.8">
      <c r="B13" s="1"/>
    </row>
    <row r="14" spans="2:2" ht="13.8">
      <c r="B14" s="1"/>
    </row>
    <row r="15" spans="2:2" ht="13.8">
      <c r="B15" s="1"/>
    </row>
    <row r="16" spans="2:2" ht="13.8">
      <c r="B16" s="1"/>
    </row>
    <row r="17" spans="2:2" ht="13.8">
      <c r="B17" s="1"/>
    </row>
    <row r="18" spans="2:2" ht="13.8">
      <c r="B18" s="1"/>
    </row>
    <row r="19" spans="2:2" ht="13.8">
      <c r="B19" s="1"/>
    </row>
    <row r="20" spans="2:2" ht="13.8">
      <c r="B20" s="1"/>
    </row>
    <row r="21" spans="2:2" ht="13.8">
      <c r="B21" s="1"/>
    </row>
    <row r="22" spans="2:2" ht="13.8">
      <c r="B22" s="1"/>
    </row>
    <row r="23" spans="2:2" ht="13.8">
      <c r="B23" s="1"/>
    </row>
    <row r="24" spans="2:2" ht="13.8">
      <c r="B24" s="1"/>
    </row>
    <row r="25" spans="2:2" ht="13.8">
      <c r="B25" s="1"/>
    </row>
    <row r="26" spans="2:2" ht="13.8">
      <c r="B26" s="1"/>
    </row>
    <row r="27" spans="2:2" ht="13.8">
      <c r="B27" s="1"/>
    </row>
    <row r="28" spans="2:2" ht="13.8">
      <c r="B28" s="1"/>
    </row>
    <row r="29" spans="2:2" ht="13.8">
      <c r="B29" s="1"/>
    </row>
    <row r="30" spans="2:2" ht="13.8">
      <c r="B30" s="1"/>
    </row>
    <row r="31" spans="2:2" ht="13.8">
      <c r="B31" s="1"/>
    </row>
    <row r="32" spans="2:2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  <row r="998" spans="2:2" ht="13.8">
      <c r="B998" s="1"/>
    </row>
    <row r="999" spans="2:2" ht="13.8">
      <c r="B999" s="1"/>
    </row>
    <row r="1000" spans="2:2" ht="13.8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9"/>
  <sheetViews>
    <sheetView workbookViewId="0">
      <selection activeCell="D14" sqref="D14"/>
    </sheetView>
  </sheetViews>
  <sheetFormatPr defaultRowHeight="15.75" customHeight="1"/>
  <cols>
    <col min="1" max="3" width="15.33203125" customWidth="1"/>
    <col min="4" max="4" width="22.33203125" customWidth="1"/>
    <col min="5" max="1024" width="15.33203125" customWidth="1"/>
  </cols>
  <sheetData>
    <row r="1" spans="1:7" ht="13.8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3.8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3.8">
      <c r="A3" s="4" t="s">
        <v>6</v>
      </c>
      <c r="B3" s="1">
        <f>AVERAGE(Database!$P$3:$P$14)</f>
        <v>90.502857142857152</v>
      </c>
      <c r="C3" s="4">
        <v>5</v>
      </c>
    </row>
    <row r="4" spans="1:7" ht="13.8">
      <c r="A4" s="4" t="s">
        <v>7</v>
      </c>
      <c r="B4" s="1">
        <f>AVERAGE(Database!$S$3:$S$14)</f>
        <v>236.25666666666666</v>
      </c>
      <c r="C4" s="4">
        <v>11</v>
      </c>
      <c r="E4" t="s">
        <v>17</v>
      </c>
    </row>
    <row r="5" spans="1:7" ht="13.8">
      <c r="A5" s="4" t="s">
        <v>66</v>
      </c>
      <c r="B5" s="1">
        <v>34.9</v>
      </c>
      <c r="C5">
        <v>8</v>
      </c>
      <c r="D5" t="s">
        <v>67</v>
      </c>
      <c r="E5" t="s">
        <v>17</v>
      </c>
    </row>
    <row r="6" spans="1:7" ht="14.4">
      <c r="A6" s="2" t="s">
        <v>47</v>
      </c>
      <c r="B6" s="5">
        <v>50</v>
      </c>
      <c r="C6" s="4">
        <v>10</v>
      </c>
    </row>
    <row r="7" spans="1:7" ht="14.4">
      <c r="A7" s="2" t="s">
        <v>48</v>
      </c>
      <c r="B7" s="5">
        <v>180</v>
      </c>
      <c r="C7" s="4">
        <v>8</v>
      </c>
      <c r="D7" s="4" t="s">
        <v>49</v>
      </c>
      <c r="E7" t="s">
        <v>17</v>
      </c>
      <c r="F7" s="4"/>
      <c r="G7" s="1"/>
    </row>
    <row r="8" spans="1:7" ht="13.8">
      <c r="A8" s="4" t="s">
        <v>5</v>
      </c>
      <c r="B8" s="1">
        <v>0</v>
      </c>
      <c r="C8" s="4">
        <v>30</v>
      </c>
      <c r="F8" s="4"/>
    </row>
    <row r="9" spans="1:7" ht="14.4">
      <c r="A9" s="2" t="s">
        <v>50</v>
      </c>
      <c r="B9" s="5">
        <v>45</v>
      </c>
      <c r="C9" s="4">
        <v>2</v>
      </c>
      <c r="F9" s="4"/>
    </row>
    <row r="10" spans="1:7" ht="13.8">
      <c r="A10" s="4" t="s">
        <v>51</v>
      </c>
      <c r="B10" s="1">
        <v>659.85</v>
      </c>
      <c r="C10" s="4">
        <v>21</v>
      </c>
      <c r="E10" t="s">
        <v>17</v>
      </c>
      <c r="F10" s="4"/>
    </row>
    <row r="11" spans="1:7" ht="13.8">
      <c r="A11" s="4" t="s">
        <v>52</v>
      </c>
      <c r="B11" s="1">
        <v>0</v>
      </c>
      <c r="C11" s="4">
        <v>10</v>
      </c>
      <c r="G11" s="18"/>
    </row>
    <row r="12" spans="1:7" ht="13.8">
      <c r="A12" s="4" t="s">
        <v>53</v>
      </c>
      <c r="B12" s="1">
        <v>120</v>
      </c>
      <c r="C12" s="4">
        <v>5</v>
      </c>
    </row>
    <row r="13" spans="1:7" ht="13.8">
      <c r="A13" s="4" t="s">
        <v>54</v>
      </c>
      <c r="B13" s="1">
        <v>10</v>
      </c>
      <c r="C13" s="4">
        <v>30</v>
      </c>
      <c r="D13" s="4" t="s">
        <v>68</v>
      </c>
    </row>
    <row r="14" spans="1:7" ht="13.8">
      <c r="A14" s="4" t="s">
        <v>55</v>
      </c>
      <c r="B14" s="1">
        <v>60</v>
      </c>
      <c r="C14" s="4">
        <v>20</v>
      </c>
      <c r="D14" s="4" t="s">
        <v>56</v>
      </c>
      <c r="E14" s="9"/>
    </row>
    <row r="15" spans="1:7" ht="13.8">
      <c r="A15" s="4" t="s">
        <v>57</v>
      </c>
      <c r="B15" s="1">
        <v>0</v>
      </c>
      <c r="G15">
        <v>349.3</v>
      </c>
    </row>
    <row r="16" spans="1:7" ht="13.8">
      <c r="A16" s="4" t="s">
        <v>58</v>
      </c>
      <c r="B16" s="1">
        <v>349.3</v>
      </c>
      <c r="C16" s="4">
        <v>1</v>
      </c>
      <c r="E16" t="s">
        <v>17</v>
      </c>
      <c r="G16">
        <v>120</v>
      </c>
    </row>
    <row r="17" spans="1:4" ht="13.8">
      <c r="A17" s="4" t="s">
        <v>59</v>
      </c>
      <c r="B17" s="1">
        <v>2780</v>
      </c>
    </row>
    <row r="18" spans="1:4" ht="13.8">
      <c r="A18" s="4" t="s">
        <v>60</v>
      </c>
      <c r="B18" s="1">
        <v>0</v>
      </c>
    </row>
    <row r="19" spans="1:4" ht="13.8">
      <c r="A19" s="4" t="s">
        <v>61</v>
      </c>
      <c r="B19" s="1">
        <v>0</v>
      </c>
    </row>
    <row r="20" spans="1:4" ht="13.8">
      <c r="A20" s="4" t="s">
        <v>63</v>
      </c>
      <c r="B20" s="1">
        <v>44</v>
      </c>
    </row>
    <row r="21" spans="1:4" ht="13.8">
      <c r="A21" s="4" t="s">
        <v>64</v>
      </c>
      <c r="B21" s="1"/>
      <c r="D21" t="s">
        <v>65</v>
      </c>
    </row>
    <row r="22" spans="1:4" ht="13.2"/>
    <row r="23" spans="1:4" ht="13.8">
      <c r="B23" s="1"/>
    </row>
    <row r="24" spans="1:4" ht="13.8">
      <c r="B24" s="1"/>
    </row>
    <row r="25" spans="1:4" ht="13.8">
      <c r="B25" s="1"/>
    </row>
    <row r="26" spans="1:4" ht="13.8">
      <c r="B26" s="1"/>
    </row>
    <row r="27" spans="1:4" ht="13.8">
      <c r="B27" s="1"/>
    </row>
    <row r="28" spans="1:4" ht="13.8">
      <c r="B28" s="1"/>
    </row>
    <row r="29" spans="1:4" ht="13.8">
      <c r="B29" s="1"/>
    </row>
    <row r="30" spans="1:4" ht="13.8">
      <c r="B30" s="1"/>
    </row>
    <row r="31" spans="1:4" ht="13.8">
      <c r="B31" s="1"/>
    </row>
    <row r="32" spans="1:4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  <row r="998" spans="2:2" ht="13.8">
      <c r="B998" s="1"/>
    </row>
    <row r="999" spans="2:2" ht="13.8">
      <c r="B999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workbookViewId="0">
      <selection activeCell="C24" sqref="C24"/>
    </sheetView>
  </sheetViews>
  <sheetFormatPr defaultRowHeight="13.2"/>
  <cols>
    <col min="1" max="1" width="24.5546875" customWidth="1"/>
    <col min="2" max="3" width="12.109375" customWidth="1"/>
    <col min="4" max="4" width="18.33203125" bestFit="1" customWidth="1"/>
    <col min="5" max="22" width="12.109375" customWidth="1"/>
  </cols>
  <sheetData>
    <row r="1" spans="1:22" ht="14.4">
      <c r="A1" t="s">
        <v>0</v>
      </c>
      <c r="B1">
        <f ca="1">YEAR(TODAY())</f>
        <v>2023</v>
      </c>
      <c r="D1" s="2" t="s">
        <v>1</v>
      </c>
      <c r="E1" s="3">
        <f ca="1">$B$5</f>
        <v>23</v>
      </c>
      <c r="F1" s="4" t="s">
        <v>2</v>
      </c>
      <c r="G1" s="4" t="s">
        <v>3</v>
      </c>
      <c r="I1" s="22" t="s">
        <v>4</v>
      </c>
      <c r="J1" s="22"/>
      <c r="L1" s="23" t="s">
        <v>5</v>
      </c>
      <c r="M1" s="23"/>
      <c r="O1" s="22" t="s">
        <v>6</v>
      </c>
      <c r="P1" s="22"/>
      <c r="R1" s="22" t="s">
        <v>7</v>
      </c>
      <c r="S1" s="22"/>
      <c r="U1" s="23" t="s">
        <v>8</v>
      </c>
      <c r="V1" s="23"/>
    </row>
    <row r="2" spans="1:22" ht="14.4">
      <c r="A2" t="s">
        <v>9</v>
      </c>
      <c r="B2">
        <f ca="1">MONTH(TODAY())</f>
        <v>3</v>
      </c>
      <c r="D2" s="2" t="s">
        <v>10</v>
      </c>
      <c r="F2" s="5">
        <f ca="1">25*E1</f>
        <v>575</v>
      </c>
      <c r="G2" s="5">
        <f ca="1">14.9*E1</f>
        <v>342.7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4.4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Mar</v>
      </c>
      <c r="D3" s="2" t="s">
        <v>15</v>
      </c>
      <c r="F3" s="5">
        <f ca="1">(4.4*2)*E1</f>
        <v>202.4</v>
      </c>
      <c r="G3" s="5">
        <f ca="1">14.9*E1</f>
        <v>342.7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4.4">
      <c r="A4" t="s">
        <v>18</v>
      </c>
      <c r="B4" s="17">
        <f ca="1">DAY(EOMONTH(TODAY()+1,0))</f>
        <v>31</v>
      </c>
      <c r="D4" s="2" t="s">
        <v>19</v>
      </c>
      <c r="F4" s="5">
        <f ca="1">F2+F3</f>
        <v>777.4</v>
      </c>
      <c r="G4" s="5">
        <f ca="1">G2+G3</f>
        <v>685.4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23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4.4">
      <c r="D6" s="2" t="s">
        <v>62</v>
      </c>
      <c r="E6" s="19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3.8">
      <c r="A8" s="4" t="s">
        <v>25</v>
      </c>
      <c r="B8" s="1">
        <v>6200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3.8">
      <c r="A9" s="4" t="s">
        <v>27</v>
      </c>
      <c r="B9" s="1">
        <f ca="1">B8/B5</f>
        <v>269.56521739130437</v>
      </c>
      <c r="E9" s="18"/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3.8">
      <c r="A10" s="1" t="s">
        <v>29</v>
      </c>
      <c r="B10" s="1">
        <f>B8/((8*5)*4)</f>
        <v>38.75</v>
      </c>
      <c r="C10" s="18"/>
      <c r="D10" s="18"/>
      <c r="I10" t="s">
        <v>30</v>
      </c>
      <c r="L10" t="s">
        <v>30</v>
      </c>
      <c r="O10" t="s">
        <v>30</v>
      </c>
      <c r="P10" s="7"/>
      <c r="R10" t="s">
        <v>30</v>
      </c>
      <c r="S10" s="7">
        <v>490</v>
      </c>
      <c r="U10" t="s">
        <v>30</v>
      </c>
    </row>
    <row r="11" spans="1:22">
      <c r="E11" s="21"/>
      <c r="I11" t="s">
        <v>31</v>
      </c>
      <c r="L11" t="s">
        <v>31</v>
      </c>
      <c r="O11" t="s">
        <v>31</v>
      </c>
      <c r="P11" s="7"/>
      <c r="R11" t="s">
        <v>31</v>
      </c>
      <c r="S11" s="7">
        <v>191.98</v>
      </c>
      <c r="U11" t="s">
        <v>31</v>
      </c>
    </row>
    <row r="12" spans="1:22" ht="13.8">
      <c r="A12" s="4" t="s">
        <v>32</v>
      </c>
      <c r="B12" s="1">
        <f ca="1">Database!$B$8-$F$4-E6</f>
        <v>4822.6000000000004</v>
      </c>
      <c r="E12" s="21"/>
      <c r="I12" t="s">
        <v>33</v>
      </c>
      <c r="J12" t="s">
        <v>17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3.8">
      <c r="A13" s="4" t="s">
        <v>3</v>
      </c>
      <c r="B13" s="1">
        <v>1000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3.8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3.8">
      <c r="A15" s="4" t="s">
        <v>36</v>
      </c>
      <c r="B15" s="1">
        <f ca="1">$B$13+$B$12</f>
        <v>5822.6</v>
      </c>
    </row>
    <row r="16" spans="1:22" ht="13.8">
      <c r="A16" s="4" t="s">
        <v>37</v>
      </c>
      <c r="B16" s="1">
        <f ca="1">B15*0.6</f>
        <v>3493.56</v>
      </c>
      <c r="D16" s="4"/>
    </row>
    <row r="17" spans="1:14" ht="13.8">
      <c r="A17" s="4" t="s">
        <v>38</v>
      </c>
      <c r="B17" s="1">
        <f>SUM(Despesas!$B$2:$B$999)</f>
        <v>5770.0195238095239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</row>
    <row r="18" spans="1:14" ht="13.8">
      <c r="A18" t="s">
        <v>39</v>
      </c>
      <c r="B18" s="1">
        <f ca="1">B15-B17</f>
        <v>52.580476190476475</v>
      </c>
      <c r="D18" s="4"/>
      <c r="E18" s="20"/>
    </row>
    <row r="19" spans="1:14" ht="13.8">
      <c r="A19" s="4" t="s">
        <v>40</v>
      </c>
      <c r="B19" s="8">
        <f ca="1">B17/B15</f>
        <v>0.99096958812378033</v>
      </c>
    </row>
    <row r="20" spans="1:14" ht="13.8">
      <c r="A20" s="4" t="s">
        <v>41</v>
      </c>
      <c r="B20" s="1">
        <v>300</v>
      </c>
      <c r="D20" s="18"/>
    </row>
    <row r="21" spans="1:14" ht="13.8">
      <c r="A21" s="4" t="s">
        <v>39</v>
      </c>
      <c r="B21" s="1">
        <f ca="1">B18-B20</f>
        <v>-247.41952380952353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33203125" customWidth="1"/>
  </cols>
  <sheetData>
    <row r="1" spans="1:1" ht="13.8">
      <c r="A1" s="10">
        <v>44562</v>
      </c>
    </row>
    <row r="2" spans="1:1" ht="13.8">
      <c r="A2" s="11">
        <v>44607</v>
      </c>
    </row>
    <row r="3" spans="1:1" ht="13.8">
      <c r="A3" s="12">
        <v>44608</v>
      </c>
    </row>
    <row r="4" spans="1:1" ht="13.8">
      <c r="A4" s="13">
        <v>44653</v>
      </c>
    </row>
    <row r="5" spans="1:1" ht="13.8">
      <c r="A5" s="14">
        <v>44672</v>
      </c>
    </row>
    <row r="6" spans="1:1" ht="13.8">
      <c r="A6" s="13">
        <v>44682</v>
      </c>
    </row>
    <row r="7" spans="1:1" ht="13.8">
      <c r="A7" s="14">
        <v>44715</v>
      </c>
    </row>
    <row r="8" spans="1:1" ht="13.8">
      <c r="A8" s="13">
        <v>44811</v>
      </c>
    </row>
    <row r="9" spans="1:1" ht="13.8">
      <c r="A9" s="14">
        <v>44846</v>
      </c>
    </row>
    <row r="10" spans="1:1" ht="13.8">
      <c r="A10" s="13">
        <v>44867</v>
      </c>
    </row>
    <row r="11" spans="1:1" ht="14.4">
      <c r="A11" s="15">
        <v>44880</v>
      </c>
    </row>
    <row r="12" spans="1:1" ht="14.4">
      <c r="A12" s="15">
        <v>44920</v>
      </c>
    </row>
    <row r="13" spans="1:1" ht="13.8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rodrigo.mendonca</cp:lastModifiedBy>
  <cp:revision>5</cp:revision>
  <dcterms:created xsi:type="dcterms:W3CDTF">2022-02-23T01:04:37Z</dcterms:created>
  <dcterms:modified xsi:type="dcterms:W3CDTF">2023-03-06T20:52:37Z</dcterms:modified>
</cp:coreProperties>
</file>