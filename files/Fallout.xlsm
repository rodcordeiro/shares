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odrigo.cordeiro\Documents\Projects\shares\files\"/>
    </mc:Choice>
  </mc:AlternateContent>
  <xr:revisionPtr revIDLastSave="0" documentId="13_ncr:1_{C66D166C-BDA9-4CD9-8BD0-97FD702796DB}" xr6:coauthVersionLast="47" xr6:coauthVersionMax="47" xr10:uidLastSave="{00000000-0000-0000-0000-000000000000}"/>
  <bookViews>
    <workbookView xWindow="-120" yWindow="-120" windowWidth="20730" windowHeight="11160" activeTab="3" xr2:uid="{7CD57A3C-4BA8-46CD-AB42-BFE8850289DB}"/>
  </bookViews>
  <sheets>
    <sheet name="Dashboard" sheetId="6" r:id="rId1"/>
    <sheet name="Database" sheetId="4" r:id="rId2"/>
    <sheet name="Builds" sheetId="5" r:id="rId3"/>
    <sheet name="Dwellers" sheetId="1" r:id="rId4"/>
    <sheet name="Outfit" sheetId="2" r:id="rId5"/>
    <sheet name="Weapons" sheetId="3" r:id="rId6"/>
    <sheet name="Storage" sheetId="8" r:id="rId7"/>
  </sheets>
  <definedNames>
    <definedName name="_xlcn.WorksheetConnection_Fallout.xlsmDwellers1" hidden="1">Dwellers[]</definedName>
    <definedName name="_xlcn.WorksheetConnection_Fallout.xlsmOutfits1" hidden="1">Outfits[]</definedName>
    <definedName name="Advanced_Lab_Coat">Outfit!$A$2:$A$20</definedName>
  </definedNames>
  <calcPr calcId="191029"/>
  <pivotCaches>
    <pivotCache cacheId="0" r:id="rId8"/>
    <pivotCache cacheId="1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Outfits" name="Outfits" connection="WorksheetConnection_Fallout.xlsm!Outfits"/>
          <x15:modelTable id="Dwellers" name="Dwellers" connection="WorksheetConnection_Fallout.xlsm!Dwellers"/>
        </x15:modelTables>
      </x15:dataModel>
    </ext>
  </extLst>
</workbook>
</file>

<file path=xl/calcChain.xml><?xml version="1.0" encoding="utf-8"?>
<calcChain xmlns="http://schemas.openxmlformats.org/spreadsheetml/2006/main">
  <c r="C11" i="5" l="1"/>
  <c r="C3" i="5"/>
  <c r="C21" i="5"/>
  <c r="C20" i="5"/>
  <c r="C18" i="5"/>
  <c r="C17" i="5"/>
  <c r="C13" i="5"/>
  <c r="C9" i="5"/>
  <c r="C2" i="5"/>
  <c r="C7" i="5"/>
  <c r="C6" i="5"/>
  <c r="C5" i="5"/>
  <c r="I14" i="1"/>
  <c r="H14" i="1"/>
  <c r="G14" i="1"/>
  <c r="F14" i="1"/>
  <c r="E14" i="1"/>
  <c r="D14" i="1"/>
  <c r="C14" i="1"/>
  <c r="D8" i="3"/>
  <c r="I12" i="2"/>
  <c r="I13" i="1"/>
  <c r="H13" i="1"/>
  <c r="G13" i="1"/>
  <c r="F13" i="1"/>
  <c r="E13" i="1"/>
  <c r="D13" i="1"/>
  <c r="C13" i="1"/>
  <c r="D2" i="3"/>
  <c r="I42" i="2"/>
  <c r="I16" i="1"/>
  <c r="H16" i="1"/>
  <c r="G16" i="1"/>
  <c r="F16" i="1"/>
  <c r="E16" i="1"/>
  <c r="D16" i="1"/>
  <c r="C16" i="1"/>
  <c r="D3" i="3"/>
  <c r="I27" i="2"/>
  <c r="R12" i="1"/>
  <c r="R2" i="1"/>
  <c r="V6" i="1"/>
  <c r="V5" i="1"/>
  <c r="I2" i="1"/>
  <c r="H2" i="1"/>
  <c r="G2" i="1"/>
  <c r="F2" i="1"/>
  <c r="E2" i="1"/>
  <c r="D2" i="1"/>
  <c r="C2" i="1"/>
  <c r="I15" i="1"/>
  <c r="H15" i="1"/>
  <c r="G15" i="1"/>
  <c r="F15" i="1"/>
  <c r="E15" i="1"/>
  <c r="D15" i="1"/>
  <c r="C15" i="1"/>
  <c r="I17" i="1"/>
  <c r="H17" i="1"/>
  <c r="G17" i="1"/>
  <c r="F17" i="1"/>
  <c r="E17" i="1"/>
  <c r="D17" i="1"/>
  <c r="C17" i="1"/>
  <c r="D35" i="3"/>
  <c r="I18" i="1"/>
  <c r="H18" i="1"/>
  <c r="G18" i="1"/>
  <c r="F18" i="1"/>
  <c r="E18" i="1"/>
  <c r="D18" i="1"/>
  <c r="C18" i="1"/>
  <c r="I7" i="1"/>
  <c r="H7" i="1"/>
  <c r="G7" i="1"/>
  <c r="F7" i="1"/>
  <c r="E7" i="1"/>
  <c r="D7" i="1"/>
  <c r="C7" i="1"/>
  <c r="I5" i="1"/>
  <c r="H5" i="1"/>
  <c r="G5" i="1"/>
  <c r="F5" i="1"/>
  <c r="E5" i="1"/>
  <c r="D5" i="1"/>
  <c r="C5" i="1"/>
  <c r="I36" i="2"/>
  <c r="I20" i="1"/>
  <c r="H20" i="1"/>
  <c r="G20" i="1"/>
  <c r="F20" i="1"/>
  <c r="E20" i="1"/>
  <c r="D20" i="1"/>
  <c r="C20" i="1"/>
  <c r="I19" i="1"/>
  <c r="H19" i="1"/>
  <c r="G19" i="1"/>
  <c r="F19" i="1"/>
  <c r="E19" i="1"/>
  <c r="D19" i="1"/>
  <c r="C19" i="1"/>
  <c r="I40" i="2"/>
  <c r="I21" i="1"/>
  <c r="H21" i="1"/>
  <c r="G21" i="1"/>
  <c r="F21" i="1"/>
  <c r="E21" i="1"/>
  <c r="D21" i="1"/>
  <c r="C21" i="1"/>
  <c r="I8" i="1"/>
  <c r="H8" i="1"/>
  <c r="G8" i="1"/>
  <c r="F8" i="1"/>
  <c r="E8" i="1"/>
  <c r="D8" i="1"/>
  <c r="C8" i="1"/>
  <c r="C4" i="5"/>
  <c r="C8" i="5"/>
  <c r="C10" i="5"/>
  <c r="C12" i="5"/>
  <c r="C14" i="5"/>
  <c r="C15" i="5"/>
  <c r="C16" i="5"/>
  <c r="C19" i="5"/>
  <c r="C22" i="5"/>
  <c r="I4" i="1"/>
  <c r="H4" i="1"/>
  <c r="G4" i="1"/>
  <c r="F4" i="1"/>
  <c r="E4" i="1"/>
  <c r="D4" i="1"/>
  <c r="C4" i="1"/>
  <c r="D19" i="3"/>
  <c r="I3" i="1"/>
  <c r="H3" i="1"/>
  <c r="G3" i="1"/>
  <c r="F3" i="1"/>
  <c r="E3" i="1"/>
  <c r="D3" i="1"/>
  <c r="C3" i="1"/>
  <c r="I9" i="1"/>
  <c r="H9" i="1"/>
  <c r="G9" i="1"/>
  <c r="F9" i="1"/>
  <c r="E9" i="1"/>
  <c r="D9" i="1"/>
  <c r="C9" i="1"/>
  <c r="R14" i="1" l="1"/>
  <c r="R13" i="1"/>
  <c r="R16" i="1"/>
  <c r="R20" i="1"/>
  <c r="R5" i="1"/>
  <c r="R21" i="1"/>
  <c r="R19" i="1"/>
  <c r="R15" i="1"/>
  <c r="R3" i="1"/>
  <c r="R4" i="1"/>
  <c r="R8" i="1"/>
  <c r="R7" i="1"/>
  <c r="R18" i="1"/>
  <c r="R17" i="1"/>
  <c r="R9" i="1"/>
  <c r="V2" i="1"/>
  <c r="V8" i="1" s="1"/>
  <c r="V3" i="1"/>
  <c r="V7" i="1"/>
  <c r="Q9" i="1"/>
  <c r="Q3" i="1"/>
  <c r="Q8" i="1"/>
  <c r="Q7" i="1"/>
  <c r="Q18" i="1"/>
  <c r="Q2" i="1"/>
  <c r="V4" i="1"/>
  <c r="Q20" i="1"/>
  <c r="Q5" i="1"/>
  <c r="Q21" i="1"/>
  <c r="Q19" i="1"/>
  <c r="Q15" i="1"/>
  <c r="Q4" i="1"/>
  <c r="Q17" i="1"/>
  <c r="I6" i="1"/>
  <c r="H6" i="1"/>
  <c r="G6" i="1"/>
  <c r="F6" i="1"/>
  <c r="E6" i="1"/>
  <c r="D6" i="1"/>
  <c r="C6" i="1"/>
  <c r="I37" i="2"/>
  <c r="I11" i="1"/>
  <c r="H11" i="1"/>
  <c r="G11" i="1"/>
  <c r="F11" i="1"/>
  <c r="E11" i="1"/>
  <c r="D11" i="1"/>
  <c r="C11" i="1"/>
  <c r="I35" i="2"/>
  <c r="I10" i="1"/>
  <c r="H10" i="1"/>
  <c r="G10" i="1"/>
  <c r="F10" i="1"/>
  <c r="E10" i="1"/>
  <c r="D10" i="1"/>
  <c r="C10" i="1"/>
  <c r="D12" i="3"/>
  <c r="B2" i="4"/>
  <c r="I12" i="1"/>
  <c r="H12" i="1"/>
  <c r="G12" i="1"/>
  <c r="F12" i="1"/>
  <c r="E12" i="1"/>
  <c r="D12" i="1"/>
  <c r="C12" i="1"/>
  <c r="D14" i="3"/>
  <c r="I3" i="2"/>
  <c r="I31" i="2"/>
  <c r="I13" i="2"/>
  <c r="D23" i="3"/>
  <c r="I33" i="2"/>
  <c r="E1" i="4"/>
  <c r="I34" i="2"/>
  <c r="D34" i="3"/>
  <c r="D33" i="3"/>
  <c r="D30" i="3"/>
  <c r="D27" i="3"/>
  <c r="D4" i="3"/>
  <c r="I32" i="2"/>
  <c r="I29" i="2"/>
  <c r="I20" i="2"/>
  <c r="I17" i="2"/>
  <c r="I15" i="2"/>
  <c r="D32" i="3"/>
  <c r="D16" i="3"/>
  <c r="I10" i="2"/>
  <c r="D21" i="3"/>
  <c r="I28" i="2"/>
  <c r="I21" i="2"/>
  <c r="I2" i="2"/>
  <c r="D31" i="3"/>
  <c r="I41" i="2"/>
  <c r="I14" i="2"/>
  <c r="I30" i="2"/>
  <c r="I23" i="2"/>
  <c r="D22" i="3"/>
  <c r="I8" i="2"/>
  <c r="I6" i="2"/>
  <c r="D20" i="3"/>
  <c r="I16" i="2"/>
  <c r="I19" i="2"/>
  <c r="D7" i="3"/>
  <c r="I43" i="2"/>
  <c r="D5" i="3"/>
  <c r="I18" i="2"/>
  <c r="D25" i="3"/>
  <c r="I7" i="2"/>
  <c r="D9" i="3"/>
  <c r="I24" i="2"/>
  <c r="D26" i="3"/>
  <c r="I39" i="2"/>
  <c r="D13" i="3"/>
  <c r="I38" i="2"/>
  <c r="D6" i="3"/>
  <c r="D10" i="3"/>
  <c r="D11" i="3"/>
  <c r="D15" i="3"/>
  <c r="D18" i="3"/>
  <c r="D28" i="3"/>
  <c r="D17" i="3"/>
  <c r="I25" i="2"/>
  <c r="I9" i="2"/>
  <c r="I11" i="2"/>
  <c r="I5" i="2"/>
  <c r="I26" i="2"/>
  <c r="I22" i="2"/>
  <c r="I4" i="2"/>
  <c r="B1" i="4"/>
  <c r="R10" i="1" l="1"/>
  <c r="R6" i="1"/>
  <c r="R11" i="1"/>
  <c r="Q12" i="1"/>
  <c r="Q10" i="1"/>
  <c r="Q11" i="1"/>
  <c r="Q6" i="1"/>
  <c r="B4" i="4"/>
  <c r="B6" i="4"/>
  <c r="D6" i="4"/>
  <c r="H6" i="4"/>
  <c r="E6" i="4"/>
  <c r="F6" i="4"/>
  <c r="C6" i="4"/>
  <c r="G6" i="4"/>
  <c r="B8" i="4" l="1"/>
  <c r="B9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2763BB-A212-4434-8265-3B5C97ECE232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CFD80CC8-4C80-4B5B-BC0B-65928C65ED98}" name="WorksheetConnection_Fallout.xlsm!Dwellers" type="102" refreshedVersion="7" minRefreshableVersion="5">
    <extLst>
      <ext xmlns:x15="http://schemas.microsoft.com/office/spreadsheetml/2010/11/main" uri="{DE250136-89BD-433C-8126-D09CA5730AF9}">
        <x15:connection id="Dwellers">
          <x15:rangePr sourceName="_xlcn.WorksheetConnection_Fallout.xlsmDwellers1"/>
        </x15:connection>
      </ext>
    </extLst>
  </connection>
  <connection id="3" xr16:uid="{3CD48A02-77D7-4F83-A039-FEE8DFC540CA}" name="WorksheetConnection_Fallout.xlsm!Outfits" type="102" refreshedVersion="7" minRefreshableVersion="5">
    <extLst>
      <ext xmlns:x15="http://schemas.microsoft.com/office/spreadsheetml/2010/11/main" uri="{DE250136-89BD-433C-8126-D09CA5730AF9}">
        <x15:connection id="Outfits">
          <x15:rangePr sourceName="_xlcn.WorksheetConnection_Fallout.xlsmOutfits1"/>
        </x15:connection>
      </ext>
    </extLst>
  </connection>
</connections>
</file>

<file path=xl/sharedStrings.xml><?xml version="1.0" encoding="utf-8"?>
<sst xmlns="http://schemas.openxmlformats.org/spreadsheetml/2006/main" count="364" uniqueCount="211">
  <si>
    <t>Dweller</t>
  </si>
  <si>
    <t>S</t>
  </si>
  <si>
    <t>P</t>
  </si>
  <si>
    <t>E</t>
  </si>
  <si>
    <t>C</t>
  </si>
  <si>
    <t>I</t>
  </si>
  <si>
    <t>A</t>
  </si>
  <si>
    <t>L</t>
  </si>
  <si>
    <t>Job</t>
  </si>
  <si>
    <t>Relationship</t>
  </si>
  <si>
    <t>Father</t>
  </si>
  <si>
    <t>Mother</t>
  </si>
  <si>
    <t>Outfit</t>
  </si>
  <si>
    <t>Weapon</t>
  </si>
  <si>
    <t>Damage</t>
  </si>
  <si>
    <t>Total Dwellers</t>
  </si>
  <si>
    <t>Civils</t>
  </si>
  <si>
    <t>Media</t>
  </si>
  <si>
    <t>Total</t>
  </si>
  <si>
    <t>Army</t>
  </si>
  <si>
    <t>MaxDwellers</t>
  </si>
  <si>
    <t>AssignedDwellers</t>
  </si>
  <si>
    <t>Production</t>
  </si>
  <si>
    <t>Storage</t>
  </si>
  <si>
    <t>Exploring</t>
  </si>
  <si>
    <t>Rótulos de Linha</t>
  </si>
  <si>
    <t>Total Geral</t>
  </si>
  <si>
    <t>Soma de AssignedDwellers</t>
  </si>
  <si>
    <t>Soma de MaxDwellers</t>
  </si>
  <si>
    <t>Merc Gear 1</t>
  </si>
  <si>
    <t>Henrietta</t>
  </si>
  <si>
    <t>13-16</t>
  </si>
  <si>
    <t>Fortified Vault Door</t>
  </si>
  <si>
    <t>Hospital</t>
  </si>
  <si>
    <t>Advanced Lab Coat</t>
  </si>
  <si>
    <t>Rusty Laser Pistol</t>
  </si>
  <si>
    <t>Officer Uniform</t>
  </si>
  <si>
    <t>Hunting Rifle</t>
  </si>
  <si>
    <t>5_6</t>
  </si>
  <si>
    <t>Item</t>
  </si>
  <si>
    <t>Armored Vault suit</t>
  </si>
  <si>
    <t>Used storage</t>
  </si>
  <si>
    <t>Glue</t>
  </si>
  <si>
    <t>Golden Clock</t>
  </si>
  <si>
    <t>Toy car</t>
  </si>
  <si>
    <t>Items</t>
  </si>
  <si>
    <t>glass 3</t>
  </si>
  <si>
    <t>Hardened Flamer</t>
  </si>
  <si>
    <t>15_18</t>
  </si>
  <si>
    <t>Engineer Outfit</t>
  </si>
  <si>
    <t>Fist</t>
  </si>
  <si>
    <t>Commander Uniform</t>
  </si>
  <si>
    <t>Enhanced Sniper Rifle</t>
  </si>
  <si>
    <t>10_12</t>
  </si>
  <si>
    <t>Lvl</t>
  </si>
  <si>
    <t>Nightwear</t>
  </si>
  <si>
    <t>Enhanced Hunting Rifle</t>
  </si>
  <si>
    <t>5_7</t>
  </si>
  <si>
    <t>Tattered Longcoat</t>
  </si>
  <si>
    <t>Focused Gatling Laser</t>
  </si>
  <si>
    <t>21_24</t>
  </si>
  <si>
    <t>Stats average</t>
  </si>
  <si>
    <t>Attribute</t>
  </si>
  <si>
    <t>StatsBuild</t>
  </si>
  <si>
    <t>Genre</t>
  </si>
  <si>
    <t>Tenpenny's Suit</t>
  </si>
  <si>
    <t>Rusty Gauss Rifle</t>
  </si>
  <si>
    <t>Right job assignment</t>
  </si>
  <si>
    <t>Wrong job assignment</t>
  </si>
  <si>
    <t>Total storage</t>
  </si>
  <si>
    <t>(Vários itens)</t>
  </si>
  <si>
    <t>Valores</t>
  </si>
  <si>
    <t>strength</t>
  </si>
  <si>
    <t>Perception</t>
  </si>
  <si>
    <t>Endurance</t>
  </si>
  <si>
    <t>Charisma</t>
  </si>
  <si>
    <t>Intelligence</t>
  </si>
  <si>
    <t>Agility</t>
  </si>
  <si>
    <t>Lucky</t>
  </si>
  <si>
    <t>Naughty Nightwear</t>
  </si>
  <si>
    <t>Enhanced Sawed-Off Shotgun</t>
  </si>
  <si>
    <t>Clergy Outfit</t>
  </si>
  <si>
    <t>Rusty 10mm Pistol</t>
  </si>
  <si>
    <t>Knight Armor</t>
  </si>
  <si>
    <t>Enhanced Combat Shotgun</t>
  </si>
  <si>
    <t>13-15</t>
  </si>
  <si>
    <t>Wasteland Medic</t>
  </si>
  <si>
    <t>Enhanced Lever-Action Rifle</t>
  </si>
  <si>
    <t>Lab Coat</t>
  </si>
  <si>
    <t>Horror Fan Outfit</t>
  </si>
  <si>
    <t>Laser Rifle</t>
  </si>
  <si>
    <t>Battle Armor</t>
  </si>
  <si>
    <t>Combat Armor</t>
  </si>
  <si>
    <t>Pipe Rifle</t>
  </si>
  <si>
    <t>5 7</t>
  </si>
  <si>
    <t>Military Fatigues</t>
  </si>
  <si>
    <t>Victory Rifle</t>
  </si>
  <si>
    <t>Sturdy Combat Armor</t>
  </si>
  <si>
    <t>Rusty Sawed-Off Shotgun</t>
  </si>
  <si>
    <t>Sci-Fi Fan Outfit</t>
  </si>
  <si>
    <t>Rusty Hunting Rifle</t>
  </si>
  <si>
    <t>Enhanced 10mm Pistol</t>
  </si>
  <si>
    <t>Mayor Outfit</t>
  </si>
  <si>
    <t>Tuned  Plasma Pistol</t>
  </si>
  <si>
    <t>Cafeteria</t>
  </si>
  <si>
    <t>Sturdy Raider Armor</t>
  </si>
  <si>
    <t>Initiate Robe</t>
  </si>
  <si>
    <t>Handyman Jumpsuiut</t>
  </si>
  <si>
    <t>Waitress Uniform</t>
  </si>
  <si>
    <t>Sawed-Off Shotgun</t>
  </si>
  <si>
    <t>6 7</t>
  </si>
  <si>
    <t>Accountant Outfit</t>
  </si>
  <si>
    <t>Heavy vault suit</t>
  </si>
  <si>
    <t>Medieval Ruler Outfit</t>
  </si>
  <si>
    <t>Radiation Suit</t>
  </si>
  <si>
    <t>Lever-Action Rifle</t>
  </si>
  <si>
    <t>4 5</t>
  </si>
  <si>
    <t>Country Girl</t>
  </si>
  <si>
    <t>Hardened Hunting Rifle</t>
  </si>
  <si>
    <t>5 8</t>
  </si>
  <si>
    <t>Scoped .44</t>
  </si>
  <si>
    <t>3 4</t>
  </si>
  <si>
    <t>Surgeon Outfit</t>
  </si>
  <si>
    <t>Giddyup buttercup</t>
  </si>
  <si>
    <t>Camera</t>
  </si>
  <si>
    <t>Magnifying Glass</t>
  </si>
  <si>
    <t>Gold Watch</t>
  </si>
  <si>
    <t>Chemistry Flask</t>
  </si>
  <si>
    <t>Microscope</t>
  </si>
  <si>
    <t>Alarm Clock</t>
  </si>
  <si>
    <t>Globe</t>
  </si>
  <si>
    <t>Sturdy Vault suit</t>
  </si>
  <si>
    <t>Plasma Rifle</t>
  </si>
  <si>
    <t>17 18</t>
  </si>
  <si>
    <t>Formal Wear</t>
  </si>
  <si>
    <t>Pressurized Flamer</t>
  </si>
  <si>
    <t>Sturdy Merc Gear</t>
  </si>
  <si>
    <t>Born</t>
  </si>
  <si>
    <t>Max Dwellers</t>
  </si>
  <si>
    <t>-</t>
  </si>
  <si>
    <t>Barracks</t>
  </si>
  <si>
    <t>Water Treatment Plant</t>
  </si>
  <si>
    <t>Overseer's Office</t>
  </si>
  <si>
    <t>Science Center</t>
  </si>
  <si>
    <t>Advanced Jumpsuit</t>
  </si>
  <si>
    <t>Hardened Combat Shotgun</t>
  </si>
  <si>
    <t>13 16</t>
  </si>
  <si>
    <t>~Gl. Longfellow</t>
  </si>
  <si>
    <t>Ms. J. Y. Longfellow</t>
  </si>
  <si>
    <t>male</t>
  </si>
  <si>
    <t>Flamer</t>
  </si>
  <si>
    <t>15 16</t>
  </si>
  <si>
    <t>~Sd. Wes Englund</t>
  </si>
  <si>
    <t>Survivor Armor</t>
  </si>
  <si>
    <t>~Sd. Young</t>
  </si>
  <si>
    <t>T-51a Power Armor</t>
  </si>
  <si>
    <t>~Sd. Jenny L. Graham</t>
  </si>
  <si>
    <t>~Sd. Graham</t>
  </si>
  <si>
    <t>female</t>
  </si>
  <si>
    <t>~Sd. Walker</t>
  </si>
  <si>
    <t>Power Plant</t>
  </si>
  <si>
    <t>Rusty Plasma Rifle</t>
  </si>
  <si>
    <t>~Gl. Tenpenny</t>
  </si>
  <si>
    <t>Ms. Rose M Tenpenny</t>
  </si>
  <si>
    <t>Laser Pistol</t>
  </si>
  <si>
    <t>7 8</t>
  </si>
  <si>
    <t>~Sd. Payne</t>
  </si>
  <si>
    <t>Vault Suit</t>
  </si>
  <si>
    <t>Michelle Tenpenny</t>
  </si>
  <si>
    <t>T-45d Power Armor</t>
  </si>
  <si>
    <t>~Sd. Myers</t>
  </si>
  <si>
    <t>~Sd.Garry Longfellow</t>
  </si>
  <si>
    <t>Julie W. Payne</t>
  </si>
  <si>
    <t>Dr. Julia C. Walker</t>
  </si>
  <si>
    <t>Wazer Wifle</t>
  </si>
  <si>
    <t>12 17</t>
  </si>
  <si>
    <t>Joan T. Englund</t>
  </si>
  <si>
    <t>media =MÉDIA(Dwellers[@[S]:[L]])</t>
  </si>
  <si>
    <t>maior</t>
  </si>
  <si>
    <t>Validar se maior repetido</t>
  </si>
  <si>
    <t>Build status</t>
  </si>
  <si>
    <t>Num Coluna</t>
  </si>
  <si>
    <t>Status build</t>
  </si>
  <si>
    <t>Se status maior que media</t>
  </si>
  <si>
    <t>Professor Outfit</t>
  </si>
  <si>
    <t>Armor Piercing Sniper Rifle</t>
  </si>
  <si>
    <t>10 14</t>
  </si>
  <si>
    <t>Gerald Longfellow</t>
  </si>
  <si>
    <t>armor</t>
  </si>
  <si>
    <t>~Sd. Cheryl Graham</t>
  </si>
  <si>
    <t>Wasteland Doctor</t>
  </si>
  <si>
    <t>Armor Piercing Lever-Action Rifle</t>
  </si>
  <si>
    <t>4 8</t>
  </si>
  <si>
    <t>Alexander Perry</t>
  </si>
  <si>
    <t>Fancy Formal Wear</t>
  </si>
  <si>
    <t>Enhanced Railway Rifle</t>
  </si>
  <si>
    <t>14 16</t>
  </si>
  <si>
    <t>Donald W. Payne</t>
  </si>
  <si>
    <t>Hardened Lever-Action Rifle</t>
  </si>
  <si>
    <t>Barracks 2</t>
  </si>
  <si>
    <t>Barracks 3</t>
  </si>
  <si>
    <t>Broadcast Center</t>
  </si>
  <si>
    <t>Academy</t>
  </si>
  <si>
    <t>Club</t>
  </si>
  <si>
    <t>Gaming Center</t>
  </si>
  <si>
    <t>Power Plant 2</t>
  </si>
  <si>
    <t>Power Plant 3</t>
  </si>
  <si>
    <t>Strength Center</t>
  </si>
  <si>
    <t>Wapons Center</t>
  </si>
  <si>
    <t>Athletics Center</t>
  </si>
  <si>
    <t>Fitness Center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</si>
</sst>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" fontId="0" fillId="0" borderId="0" xfId="0" applyNumberFormat="1"/>
    <xf numFmtId="1" fontId="0" fillId="0" borderId="0" xfId="0" applyNumberFormat="1"/>
    <xf numFmtId="0" fontId="1" fillId="0" borderId="0" xfId="0" applyFont="1"/>
    <xf numFmtId="2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1" tint="0.14996795556505021"/>
      </font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numFmt numFmtId="0" formatCode="General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50"/>
              <a:t>Dwellers Special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Database!$A$6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Database!$B$5:$H$5</c:f>
              <c:strCache>
                <c:ptCount val="7"/>
                <c:pt idx="0">
                  <c:v>S</c:v>
                </c:pt>
                <c:pt idx="1">
                  <c:v>P</c:v>
                </c:pt>
                <c:pt idx="2">
                  <c:v>E</c:v>
                </c:pt>
                <c:pt idx="3">
                  <c:v>C</c:v>
                </c:pt>
                <c:pt idx="4">
                  <c:v>I</c:v>
                </c:pt>
                <c:pt idx="5">
                  <c:v>A</c:v>
                </c:pt>
                <c:pt idx="6">
                  <c:v>L</c:v>
                </c:pt>
              </c:strCache>
            </c:strRef>
          </c:cat>
          <c:val>
            <c:numRef>
              <c:f>Database!$B$6:$H$6</c:f>
              <c:numCache>
                <c:formatCode>General</c:formatCode>
                <c:ptCount val="7"/>
                <c:pt idx="0">
                  <c:v>2</c:v>
                </c:pt>
                <c:pt idx="1">
                  <c:v>4.5</c:v>
                </c:pt>
                <c:pt idx="2">
                  <c:v>3</c:v>
                </c:pt>
                <c:pt idx="3">
                  <c:v>2.5</c:v>
                </c:pt>
                <c:pt idx="4">
                  <c:v>2</c:v>
                </c:pt>
                <c:pt idx="5">
                  <c:v>3.5</c:v>
                </c:pt>
                <c:pt idx="6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9-4BCE-B14B-F5E77F92E9A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95021504"/>
        <c:axId val="95019008"/>
      </c:barChart>
      <c:catAx>
        <c:axId val="9502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019008"/>
        <c:crosses val="autoZero"/>
        <c:auto val="1"/>
        <c:lblAlgn val="ctr"/>
        <c:lblOffset val="100"/>
        <c:noMultiLvlLbl val="0"/>
      </c:catAx>
      <c:valAx>
        <c:axId val="950190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02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58252277288868"/>
          <c:y val="6.5439672801635998E-2"/>
          <c:w val="0.71173691523853633"/>
          <c:h val="0.7423023042365103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5B4-44D4-8EAD-491C2156231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5B4-44D4-8EAD-491C21562318}"/>
              </c:ext>
            </c:extLst>
          </c:dPt>
          <c:cat>
            <c:strRef>
              <c:f>Database!$A$1:$A$4</c:f>
              <c:strCache>
                <c:ptCount val="4"/>
                <c:pt idx="0">
                  <c:v>Army</c:v>
                </c:pt>
                <c:pt idx="1">
                  <c:v>Civils</c:v>
                </c:pt>
                <c:pt idx="2">
                  <c:v>Max Dwellers</c:v>
                </c:pt>
                <c:pt idx="3">
                  <c:v>Total Dwellers</c:v>
                </c:pt>
              </c:strCache>
            </c:strRef>
          </c:cat>
          <c:val>
            <c:numRef>
              <c:f>Database!$B$1:$B$2</c:f>
              <c:numCache>
                <c:formatCode>General</c:formatCode>
                <c:ptCount val="2"/>
                <c:pt idx="0">
                  <c:v>11</c:v>
                </c:pt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B4-44D4-8EAD-491C21562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962173845916307E-2"/>
          <c:y val="0.79528782828526801"/>
          <c:w val="0.89575605990427665"/>
          <c:h val="0.142940361621463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8354232552552879"/>
          <c:y val="0.481910603498379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Database!$A$4</c:f>
              <c:strCache>
                <c:ptCount val="1"/>
                <c:pt idx="0">
                  <c:v>Total Dwellers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Database!$B$4</c:f>
              <c:strCache>
                <c:ptCount val="1"/>
                <c:pt idx="0">
                  <c:v>20/92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7374-45F3-ABBD-29B62BFCA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6560480"/>
        <c:axId val="16561312"/>
      </c:barChart>
      <c:catAx>
        <c:axId val="1656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61312"/>
        <c:crosses val="autoZero"/>
        <c:auto val="1"/>
        <c:lblAlgn val="ctr"/>
        <c:lblOffset val="100"/>
        <c:noMultiLvlLbl val="0"/>
      </c:catAx>
      <c:valAx>
        <c:axId val="165613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56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[Fallout.xlsm]Database!Jobs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78798610872331"/>
          <c:y val="5.0925925925925923E-2"/>
          <c:w val="0.86764432830175708"/>
          <c:h val="0.574315398075240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Database!$L$1</c:f>
              <c:strCache>
                <c:ptCount val="1"/>
                <c:pt idx="0">
                  <c:v>Soma de MaxDwellers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Database!$K$2:$K$11</c:f>
              <c:strCache>
                <c:ptCount val="9"/>
                <c:pt idx="0">
                  <c:v>Barracks</c:v>
                </c:pt>
                <c:pt idx="1">
                  <c:v>Cafeteria</c:v>
                </c:pt>
                <c:pt idx="2">
                  <c:v>Exploring</c:v>
                </c:pt>
                <c:pt idx="3">
                  <c:v>Fortified Vault Door</c:v>
                </c:pt>
                <c:pt idx="4">
                  <c:v>Hospital</c:v>
                </c:pt>
                <c:pt idx="5">
                  <c:v>Overseer's Office</c:v>
                </c:pt>
                <c:pt idx="6">
                  <c:v>Power Plant</c:v>
                </c:pt>
                <c:pt idx="7">
                  <c:v>Science Center</c:v>
                </c:pt>
                <c:pt idx="8">
                  <c:v>Water Treatment Plant</c:v>
                </c:pt>
              </c:strCache>
            </c:strRef>
          </c:cat>
          <c:val>
            <c:numRef>
              <c:f>Database!$L$2:$L$11</c:f>
              <c:numCache>
                <c:formatCode>General</c:formatCode>
                <c:ptCount val="9"/>
                <c:pt idx="0">
                  <c:v>4</c:v>
                </c:pt>
                <c:pt idx="1">
                  <c:v>6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3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96-4FF3-9C8B-15EF34934299}"/>
            </c:ext>
          </c:extLst>
        </c:ser>
        <c:ser>
          <c:idx val="1"/>
          <c:order val="1"/>
          <c:tx>
            <c:strRef>
              <c:f>Database!$M$1</c:f>
              <c:strCache>
                <c:ptCount val="1"/>
                <c:pt idx="0">
                  <c:v>Soma de AssignedDwellers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Database!$K$2:$K$11</c:f>
              <c:strCache>
                <c:ptCount val="9"/>
                <c:pt idx="0">
                  <c:v>Barracks</c:v>
                </c:pt>
                <c:pt idx="1">
                  <c:v>Cafeteria</c:v>
                </c:pt>
                <c:pt idx="2">
                  <c:v>Exploring</c:v>
                </c:pt>
                <c:pt idx="3">
                  <c:v>Fortified Vault Door</c:v>
                </c:pt>
                <c:pt idx="4">
                  <c:v>Hospital</c:v>
                </c:pt>
                <c:pt idx="5">
                  <c:v>Overseer's Office</c:v>
                </c:pt>
                <c:pt idx="6">
                  <c:v>Power Plant</c:v>
                </c:pt>
                <c:pt idx="7">
                  <c:v>Science Center</c:v>
                </c:pt>
                <c:pt idx="8">
                  <c:v>Water Treatment Plant</c:v>
                </c:pt>
              </c:strCache>
            </c:strRef>
          </c:cat>
          <c:val>
            <c:numRef>
              <c:f>Database!$M$2:$M$11</c:f>
              <c:numCache>
                <c:formatCode>General</c:formatCode>
                <c:ptCount val="9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4</c:v>
                </c:pt>
                <c:pt idx="7">
                  <c:v>1</c:v>
                </c:pt>
                <c:pt idx="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96-4FF3-9C8B-15EF3493429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95021504"/>
        <c:axId val="95021920"/>
      </c:barChart>
      <c:catAx>
        <c:axId val="9502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021920"/>
        <c:crosses val="autoZero"/>
        <c:auto val="1"/>
        <c:lblAlgn val="ctr"/>
        <c:lblOffset val="100"/>
        <c:noMultiLvlLbl val="0"/>
      </c:catAx>
      <c:valAx>
        <c:axId val="950219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02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 sz="1050"/>
              <a:t>Storage usage</a:t>
            </a:r>
          </a:p>
        </c:rich>
      </c:tx>
      <c:layout>
        <c:manualLayout>
          <c:xMode val="edge"/>
          <c:yMode val="edge"/>
          <c:x val="0.28266426696662922"/>
          <c:y val="0.379052448952355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221453378933694E-2"/>
          <c:y val="4.6781406345984274E-2"/>
          <c:w val="0.91369283385031419"/>
          <c:h val="0.7917336522605713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alpha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DE0-44B2-A00A-C7BBD2CE09B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DE0-44B2-A00A-C7BBD2CE09B0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DE0-44B2-A00A-C7BBD2CE09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Database!$D$1:$D$2</c:f>
              <c:strCache>
                <c:ptCount val="2"/>
                <c:pt idx="0">
                  <c:v>Used storage</c:v>
                </c:pt>
                <c:pt idx="1">
                  <c:v>Total storage</c:v>
                </c:pt>
              </c:strCache>
            </c:strRef>
          </c:cat>
          <c:val>
            <c:numRef>
              <c:f>Database!$E$1:$E$2</c:f>
              <c:numCache>
                <c:formatCode>General</c:formatCode>
                <c:ptCount val="2"/>
                <c:pt idx="0">
                  <c:v>11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E0-44B2-A00A-C7BBD2CE09B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68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6787941309018386E-2"/>
          <c:y val="0.85402049104441469"/>
          <c:w val="0.94098411940931626"/>
          <c:h val="9.8468937905215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Right Job</a:t>
            </a:r>
          </a:p>
          <a:p>
            <a:pPr>
              <a:defRPr/>
            </a:pPr>
            <a:r>
              <a:rPr lang="pt-BR"/>
              <a:t>Assignment</a:t>
            </a:r>
          </a:p>
        </c:rich>
      </c:tx>
      <c:layout>
        <c:manualLayout>
          <c:xMode val="edge"/>
          <c:yMode val="edge"/>
          <c:x val="0.24864950803935684"/>
          <c:y val="0.373995132953466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2679385649148044E-2"/>
          <c:y val="9.8307217473884143E-2"/>
          <c:w val="0.8456479481641469"/>
          <c:h val="0.83661324786324787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12-4806-BE13-E2CC3C98AD1E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412-4806-BE13-E2CC3C98AD1E}"/>
              </c:ext>
            </c:extLst>
          </c:dPt>
          <c:cat>
            <c:strRef>
              <c:f>Database!$A$8:$A$9</c:f>
              <c:strCache>
                <c:ptCount val="2"/>
                <c:pt idx="0">
                  <c:v>Wrong job assignment</c:v>
                </c:pt>
                <c:pt idx="1">
                  <c:v>Right job assignment</c:v>
                </c:pt>
              </c:strCache>
            </c:strRef>
          </c:cat>
          <c:val>
            <c:numRef>
              <c:f>Database!$B$8:$B$9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12-4806-BE13-E2CC3C98AD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[Fallout.xlsm]Database!ArmySpecialsAverage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pt-BR" sz="1050" b="1" i="0" cap="all" baseline="0">
                <a:effectLst/>
              </a:rPr>
              <a:t>Army Special Average</a:t>
            </a:r>
            <a:endParaRPr lang="pt-BR" sz="10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6"/>
            </a:solidFill>
            <a:ln w="9525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Database!$C$13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Database!$B$14:$B$20</c:f>
              <c:strCache>
                <c:ptCount val="7"/>
                <c:pt idx="0">
                  <c:v>strength</c:v>
                </c:pt>
                <c:pt idx="1">
                  <c:v>Perception</c:v>
                </c:pt>
                <c:pt idx="2">
                  <c:v>Endurance</c:v>
                </c:pt>
                <c:pt idx="3">
                  <c:v>Charisma</c:v>
                </c:pt>
                <c:pt idx="4">
                  <c:v>Intelligence</c:v>
                </c:pt>
                <c:pt idx="5">
                  <c:v>Agility</c:v>
                </c:pt>
                <c:pt idx="6">
                  <c:v>Lucky</c:v>
                </c:pt>
              </c:strCache>
            </c:strRef>
          </c:cat>
          <c:val>
            <c:numRef>
              <c:f>Database!$C$14:$C$20</c:f>
              <c:numCache>
                <c:formatCode>0</c:formatCode>
                <c:ptCount val="7"/>
                <c:pt idx="0">
                  <c:v>10.857142857142858</c:v>
                </c:pt>
                <c:pt idx="1">
                  <c:v>8.1428571428571423</c:v>
                </c:pt>
                <c:pt idx="2">
                  <c:v>9.4285714285714288</c:v>
                </c:pt>
                <c:pt idx="3">
                  <c:v>3.8571428571428572</c:v>
                </c:pt>
                <c:pt idx="4">
                  <c:v>4</c:v>
                </c:pt>
                <c:pt idx="5">
                  <c:v>4.1428571428571432</c:v>
                </c:pt>
                <c:pt idx="6">
                  <c:v>4.4285714285714288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BB-47A4-80F2-C80E989B4EF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605489023"/>
        <c:axId val="605507743"/>
      </c:barChart>
      <c:catAx>
        <c:axId val="60548902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05507743"/>
        <c:crosses val="autoZero"/>
        <c:auto val="1"/>
        <c:lblAlgn val="ctr"/>
        <c:lblOffset val="100"/>
        <c:noMultiLvlLbl val="0"/>
      </c:catAx>
      <c:valAx>
        <c:axId val="605507743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05489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105805</xdr:rowOff>
    </xdr:from>
    <xdr:to>
      <xdr:col>4</xdr:col>
      <xdr:colOff>190500</xdr:colOff>
      <xdr:row>8</xdr:row>
      <xdr:rowOff>143905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200662</xdr:colOff>
      <xdr:row>0</xdr:row>
      <xdr:rowOff>39130</xdr:rowOff>
    </xdr:from>
    <xdr:to>
      <xdr:col>10</xdr:col>
      <xdr:colOff>600712</xdr:colOff>
      <xdr:row>8</xdr:row>
      <xdr:rowOff>123825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077462" y="39130"/>
          <a:ext cx="1619250" cy="1608695"/>
          <a:chOff x="3281362" y="1534380"/>
          <a:chExt cx="4572000" cy="2842357"/>
        </a:xfrm>
      </xdr:grpSpPr>
      <xdr:graphicFrame macro="">
        <xdr:nvGraphicFramePr>
          <xdr:cNvPr id="5" name="Gráfico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aphicFramePr/>
        </xdr:nvGraphicFramePr>
        <xdr:xfrm>
          <a:off x="3281362" y="1633537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GraphicFramePr/>
        </xdr:nvGraphicFramePr>
        <xdr:xfrm>
          <a:off x="4628276" y="1534380"/>
          <a:ext cx="2068639" cy="168112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0</xdr:col>
      <xdr:colOff>152400</xdr:colOff>
      <xdr:row>9</xdr:row>
      <xdr:rowOff>57150</xdr:rowOff>
    </xdr:from>
    <xdr:to>
      <xdr:col>9</xdr:col>
      <xdr:colOff>76200</xdr:colOff>
      <xdr:row>21</xdr:row>
      <xdr:rowOff>57150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66993</xdr:colOff>
      <xdr:row>0</xdr:row>
      <xdr:rowOff>105805</xdr:rowOff>
    </xdr:from>
    <xdr:to>
      <xdr:col>13</xdr:col>
      <xdr:colOff>514668</xdr:colOff>
      <xdr:row>8</xdr:row>
      <xdr:rowOff>143905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</xdr:row>
          <xdr:rowOff>123825</xdr:rowOff>
        </xdr:from>
        <xdr:to>
          <xdr:col>19</xdr:col>
          <xdr:colOff>390525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Dweller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590550</xdr:colOff>
      <xdr:row>0</xdr:row>
      <xdr:rowOff>105805</xdr:rowOff>
    </xdr:from>
    <xdr:to>
      <xdr:col>16</xdr:col>
      <xdr:colOff>304800</xdr:colOff>
      <xdr:row>8</xdr:row>
      <xdr:rowOff>142875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3</xdr:row>
          <xdr:rowOff>114300</xdr:rowOff>
        </xdr:from>
        <xdr:to>
          <xdr:col>19</xdr:col>
          <xdr:colOff>390525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Outfit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5</xdr:row>
          <xdr:rowOff>114300</xdr:rowOff>
        </xdr:from>
        <xdr:to>
          <xdr:col>19</xdr:col>
          <xdr:colOff>390525</xdr:colOff>
          <xdr:row>6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Weapon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266381</xdr:colOff>
      <xdr:row>0</xdr:row>
      <xdr:rowOff>105805</xdr:rowOff>
    </xdr:from>
    <xdr:to>
      <xdr:col>8</xdr:col>
      <xdr:colOff>124781</xdr:colOff>
      <xdr:row>8</xdr:row>
      <xdr:rowOff>140605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de Mendonça Cordeiro" refreshedDate="44348.699448032407" createdVersion="7" refreshedVersion="7" minRefreshableVersion="3" recordCount="20" xr:uid="{AC01A0BA-2C0E-4B80-9868-E1808719CA0A}">
  <cacheSource type="worksheet">
    <worksheetSource name="Dwellers"/>
  </cacheSource>
  <cacheFields count="19">
    <cacheField name="Dweller" numFmtId="0">
      <sharedItems containsBlank="1" count="60">
        <s v="~Gl. Longfellow"/>
        <s v="~Gl. Tenpenny"/>
        <s v="~Sd. Cheryl Graham"/>
        <s v="~Sd. Graham"/>
        <s v="~Sd. Jenny L. Graham"/>
        <s v="~Sd. Myers"/>
        <s v="~Sd. Payne"/>
        <s v="~Sd. Walker"/>
        <s v="~Sd. Wes Englund"/>
        <s v="~Sd. Young"/>
        <s v="~Sd.Garry Longfellow"/>
        <s v="Alexander Perry"/>
        <s v="Donald W. Payne"/>
        <s v="Dr. Julia C. Walker"/>
        <s v="Gerald Longfellow"/>
        <s v="Joan T. Englund"/>
        <s v="Julie W. Payne"/>
        <s v="Michelle Tenpenny"/>
        <s v="Ms. J. Y. Longfellow"/>
        <s v="Ms. Rose M Tenpenny"/>
        <m u="1"/>
        <s v="Russel Green" u="1"/>
        <s v="Jose Longfellow" u="1"/>
        <s v="Richard Hale" u="1"/>
        <s v="Jennifer Snyder" u="1"/>
        <s v="Mr. Green" u="1"/>
        <s v="Matthew Hawkins" u="1"/>
        <s v="Mr. Snyder" u="1"/>
        <s v="Julia C. Walker" u="1"/>
        <s v="Diego Bataglia" u="1"/>
        <s v="Dorothy Tenpenny" u="1"/>
        <s v="Alice Snyder" u="1"/>
        <s v="William T. Walker" u="1"/>
        <s v="Rebecca D. Hawkins" u="1"/>
        <s v="Axelle Tenpenny" u="1"/>
        <s v="Sean day" u="1"/>
        <s v="Charles Tenpenny" u="1"/>
        <s v="Larry Payne" u="1"/>
        <s v="Julia Tenpenny" u="1"/>
        <s v="Vincent Mitchell" u="1"/>
        <s v="Nicole Frosts" u="1"/>
        <s v="Henry Mitchell" u="1"/>
        <s v="Bruce Longfellow" u="1"/>
        <s v="Madison Walker" u="1"/>
        <s v="Axelle T. Walker" u="1"/>
        <s v="Ruth L. graham" u="1"/>
        <s v="Rebecca L. Graham" u="1"/>
        <s v="Kevin Mitchell" u="1"/>
        <s v="Jose M Tenpenny" u="1"/>
        <s v="Joana T. Englund" u="1"/>
        <s v="~Sd. Garry Longfellow" u="1"/>
        <s v="Gabriel C. Walker" u="1"/>
        <s v="Eugene W. Payne" u="1"/>
        <s v="Nicholas Mitchell" u="1"/>
        <s v="Samuel Jones" u="1"/>
        <s v="Jordan J Y Longfellow" u="1"/>
        <s v="David Newton" u="1"/>
        <s v="Ms. G. J. Green" u="1"/>
        <s v="Erick Hawkins" u="1"/>
        <s v="Cheryl Graham" u="1"/>
      </sharedItems>
    </cacheField>
    <cacheField name="Lvl" numFmtId="0">
      <sharedItems containsSemiMixedTypes="0" containsString="0" containsNumber="1" containsInteger="1" minValue="1" maxValue="50"/>
    </cacheField>
    <cacheField name="S" numFmtId="0">
      <sharedItems containsSemiMixedTypes="0" containsString="0" containsNumber="1" containsInteger="1" minValue="1" maxValue="13"/>
    </cacheField>
    <cacheField name="P" numFmtId="0">
      <sharedItems containsSemiMixedTypes="0" containsString="0" containsNumber="1" containsInteger="1" minValue="1" maxValue="14"/>
    </cacheField>
    <cacheField name="E" numFmtId="0">
      <sharedItems containsSemiMixedTypes="0" containsString="0" containsNumber="1" containsInteger="1" minValue="1" maxValue="14"/>
    </cacheField>
    <cacheField name="C" numFmtId="0">
      <sharedItems containsSemiMixedTypes="0" containsString="0" containsNumber="1" containsInteger="1" minValue="1" maxValue="15"/>
    </cacheField>
    <cacheField name="I" numFmtId="0">
      <sharedItems containsSemiMixedTypes="0" containsString="0" containsNumber="1" containsInteger="1" minValue="1" maxValue="15"/>
    </cacheField>
    <cacheField name="A" numFmtId="0">
      <sharedItems containsSemiMixedTypes="0" containsString="0" containsNumber="1" containsInteger="1" minValue="1" maxValue="15"/>
    </cacheField>
    <cacheField name="L" numFmtId="0">
      <sharedItems containsSemiMixedTypes="0" containsString="0" containsNumber="1" containsInteger="1" minValue="1" maxValue="10"/>
    </cacheField>
    <cacheField name="Job" numFmtId="0">
      <sharedItems/>
    </cacheField>
    <cacheField name="Outfit" numFmtId="0">
      <sharedItems/>
    </cacheField>
    <cacheField name="Weapon" numFmtId="0">
      <sharedItems/>
    </cacheField>
    <cacheField name="Relationship" numFmtId="0">
      <sharedItems containsBlank="1"/>
    </cacheField>
    <cacheField name="Father" numFmtId="0">
      <sharedItems containsBlank="1"/>
    </cacheField>
    <cacheField name="Mother" numFmtId="0">
      <sharedItems containsBlank="1"/>
    </cacheField>
    <cacheField name="Genre" numFmtId="0">
      <sharedItems/>
    </cacheField>
    <cacheField name="Stats average" numFmtId="0">
      <sharedItems containsString="0" containsBlank="1" containsNumber="1" minValue="1.7142857142857142" maxValue="9"/>
    </cacheField>
    <cacheField name="StatsBuild" numFmtId="0">
      <sharedItems/>
    </cacheField>
    <cacheField name="Born" numFmtId="14">
      <sharedItems containsNonDate="0" containsDate="1" containsString="0" containsBlank="1" minDate="2021-05-26T00:00:00" maxDate="2021-05-27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de Mendonça Cordeiro" refreshedDate="44348.699448032407" createdVersion="7" refreshedVersion="7" minRefreshableVersion="3" recordCount="9" xr:uid="{AA56369D-B50C-4084-9A0C-C565B4FB127D}">
  <cacheSource type="worksheet">
    <worksheetSource name="Jobs"/>
  </cacheSource>
  <cacheFields count="6">
    <cacheField name="Job" numFmtId="0">
      <sharedItems containsBlank="1" count="28">
        <s v="Barracks"/>
        <s v="Cafeteria"/>
        <s v="Exploring"/>
        <s v="Fortified Vault Door"/>
        <s v="Hospital"/>
        <s v="Overseer's Office"/>
        <s v="Power Plant"/>
        <s v="Science Center"/>
        <s v="Water Treatment Plant"/>
        <m u="1"/>
        <s v="Science Station" u="1"/>
        <s v="Radio Studio" u="1"/>
        <s v="Arcade" u="1"/>
        <s v="Water Treatment" u="1"/>
        <s v="School" u="1"/>
        <s v="Power Plant 2" u="1"/>
        <s v="Residence 1" u="1"/>
        <s v="Residence 2" u="1"/>
        <s v="Bar (Charism Improvment)" u="1"/>
        <s v="Weapons Station" u="1"/>
        <s v="Power Platn" u="1"/>
        <s v="Dinner Room" u="1"/>
        <s v="Overseer's Control Station" u="1"/>
        <s v="Strength Center" u="1"/>
        <s v="Power Plant 1" u="1"/>
        <s v="Fitness Studio" u="1"/>
        <s v="Athletics Studio" u="1"/>
        <s v="Weapon Factory" u="1"/>
      </sharedItems>
    </cacheField>
    <cacheField name="MaxDwellers" numFmtId="0">
      <sharedItems containsMixedTypes="1" containsNumber="1" containsInteger="1" minValue="2" maxValue="6"/>
    </cacheField>
    <cacheField name="AssignedDwellers" numFmtId="0">
      <sharedItems containsSemiMixedTypes="0" containsString="0" containsNumber="1" containsInteger="1" minValue="0" maxValue="6"/>
    </cacheField>
    <cacheField name="Production" numFmtId="0">
      <sharedItems containsNonDate="0" containsString="0" containsBlank="1"/>
    </cacheField>
    <cacheField name="Storage" numFmtId="0">
      <sharedItems containsNonDate="0" containsString="0" containsBlank="1"/>
    </cacheField>
    <cacheField name="Attribu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n v="50"/>
    <n v="12"/>
    <n v="7"/>
    <n v="10"/>
    <n v="6"/>
    <n v="6"/>
    <n v="4"/>
    <n v="9"/>
    <s v="Fortified Vault Door"/>
    <s v="Tattered Longcoat"/>
    <s v="Focused Gatling Laser"/>
    <s v="Ms. J. Y. Longfellow"/>
    <m/>
    <m/>
    <s v="male"/>
    <n v="7.7142857142857144"/>
    <s v=""/>
    <d v="2021-05-26T00:00:00"/>
  </r>
  <r>
    <x v="1"/>
    <n v="50"/>
    <n v="10"/>
    <n v="11"/>
    <n v="10"/>
    <n v="11"/>
    <n v="9"/>
    <n v="2"/>
    <n v="10"/>
    <s v="Water Treatment Plant"/>
    <s v="Tenpenny's Suit"/>
    <s v="Rusty Plasma Rifle"/>
    <s v="Ms. Rose M Tenpenny"/>
    <m/>
    <m/>
    <s v="male"/>
    <n v="9"/>
    <b v="1"/>
    <d v="2021-05-26T00:00:00"/>
  </r>
  <r>
    <x v="2"/>
    <n v="1"/>
    <n v="1"/>
    <n v="3"/>
    <n v="3"/>
    <n v="1"/>
    <n v="1"/>
    <n v="4"/>
    <n v="4"/>
    <s v="Exploring"/>
    <s v="Sturdy Merc Gear"/>
    <s v="Laser Pistol"/>
    <m/>
    <s v="~Sd. Graham"/>
    <s v="~Sd. Jenny L. Graham"/>
    <s v="female"/>
    <n v="2.4285714285714284"/>
    <s v=""/>
    <d v="2021-05-26T00:00:00"/>
  </r>
  <r>
    <x v="3"/>
    <n v="50"/>
    <n v="12"/>
    <n v="14"/>
    <n v="10"/>
    <n v="1"/>
    <n v="2"/>
    <n v="4"/>
    <n v="3"/>
    <s v="Water Treatment Plant"/>
    <s v="T-45d Power Armor"/>
    <s v="Plasma Rifle"/>
    <s v="~Sd. Jenny L. Graham"/>
    <m/>
    <m/>
    <s v="male"/>
    <n v="6.5714285714285712"/>
    <b v="1"/>
    <d v="2021-05-26T00:00:00"/>
  </r>
  <r>
    <x v="4"/>
    <n v="50"/>
    <n v="13"/>
    <n v="5"/>
    <n v="10"/>
    <n v="2"/>
    <n v="1"/>
    <n v="5"/>
    <n v="1"/>
    <s v="Power Plant"/>
    <s v="T-51a Power Armor"/>
    <s v="Pressurized Flamer"/>
    <s v="~Sd. Graham"/>
    <m/>
    <m/>
    <s v="female"/>
    <n v="5.2857142857142856"/>
    <b v="1"/>
    <d v="2021-05-26T00:00:00"/>
  </r>
  <r>
    <x v="5"/>
    <n v="50"/>
    <n v="7"/>
    <n v="8"/>
    <n v="8"/>
    <n v="5"/>
    <n v="5"/>
    <n v="6"/>
    <n v="4"/>
    <s v="Water Treatment Plant"/>
    <s v="Sturdy Merc Gear"/>
    <s v="Rusty Gauss Rifle"/>
    <m/>
    <m/>
    <m/>
    <s v="male"/>
    <n v="6.1428571428571432"/>
    <b v="1"/>
    <d v="2021-05-26T00:00:00"/>
  </r>
  <r>
    <x v="6"/>
    <n v="50"/>
    <n v="8"/>
    <n v="11"/>
    <n v="2"/>
    <n v="3"/>
    <n v="2"/>
    <n v="1"/>
    <n v="2"/>
    <s v="Water Treatment Plant"/>
    <s v="Knight Armor"/>
    <s v="Flamer"/>
    <m/>
    <m/>
    <m/>
    <s v="male"/>
    <n v="4.1428571428571432"/>
    <b v="1"/>
    <d v="2021-05-26T00:00:00"/>
  </r>
  <r>
    <x v="7"/>
    <n v="35"/>
    <n v="10"/>
    <n v="8"/>
    <n v="10"/>
    <n v="2"/>
    <n v="1"/>
    <n v="6"/>
    <n v="6"/>
    <s v="Power Plant"/>
    <s v="Formal Wear"/>
    <s v="Henrietta"/>
    <m/>
    <m/>
    <m/>
    <s v="male"/>
    <n v="6.1428571428571432"/>
    <b v="1"/>
    <d v="2021-05-26T00:00:00"/>
  </r>
  <r>
    <x v="8"/>
    <n v="50"/>
    <n v="10"/>
    <n v="7"/>
    <n v="14"/>
    <n v="3"/>
    <n v="6"/>
    <n v="9"/>
    <n v="4"/>
    <s v="Power Plant"/>
    <s v="Horror Fan Outfit"/>
    <s v="Flamer"/>
    <m/>
    <m/>
    <m/>
    <s v="male"/>
    <n v="7.5714285714285712"/>
    <b v="0"/>
    <d v="2021-05-26T00:00:00"/>
  </r>
  <r>
    <x v="9"/>
    <n v="50"/>
    <n v="11"/>
    <n v="2"/>
    <n v="10"/>
    <n v="1"/>
    <n v="2"/>
    <n v="4"/>
    <n v="2"/>
    <s v="Power Plant"/>
    <s v="Survivor Armor"/>
    <s v="Hardened Flamer"/>
    <m/>
    <m/>
    <m/>
    <s v="male"/>
    <n v="4.5714285714285712"/>
    <b v="1"/>
    <d v="2021-05-26T00:00:00"/>
  </r>
  <r>
    <x v="10"/>
    <n v="50"/>
    <n v="2"/>
    <n v="8"/>
    <n v="6"/>
    <n v="1"/>
    <n v="2"/>
    <n v="15"/>
    <n v="1"/>
    <s v="Fortified Vault Door"/>
    <s v="Advanced Jumpsuit"/>
    <s v="Hardened Combat Shotgun"/>
    <m/>
    <s v="~Gl. Longfellow"/>
    <s v="Ms. J. Y. Longfellow"/>
    <s v="male"/>
    <n v="5"/>
    <s v=""/>
    <d v="2021-05-26T00:00:00"/>
  </r>
  <r>
    <x v="11"/>
    <n v="8"/>
    <n v="1"/>
    <n v="5"/>
    <n v="2"/>
    <n v="2"/>
    <n v="2"/>
    <n v="1"/>
    <n v="4"/>
    <s v="Water Treatment Plant"/>
    <s v="Wasteland Doctor"/>
    <s v="Armor Piercing Sniper Rifle"/>
    <m/>
    <m/>
    <m/>
    <s v="male"/>
    <m/>
    <b v="1"/>
    <m/>
  </r>
  <r>
    <x v="12"/>
    <n v="8"/>
    <n v="2"/>
    <n v="4"/>
    <n v="3"/>
    <n v="3"/>
    <n v="2"/>
    <n v="2"/>
    <n v="8"/>
    <s v="Water Treatment Plant"/>
    <s v="Fancy Formal Wear"/>
    <s v="Enhanced Sniper Rifle"/>
    <m/>
    <s v="~Sd. Payne"/>
    <s v="Julie W. Payne"/>
    <s v="male"/>
    <m/>
    <b v="0"/>
    <m/>
  </r>
  <r>
    <x v="13"/>
    <n v="34"/>
    <n v="2"/>
    <n v="1"/>
    <n v="1"/>
    <n v="2"/>
    <n v="15"/>
    <n v="2"/>
    <n v="1"/>
    <s v="Science Center"/>
    <s v="Advanced Lab Coat"/>
    <s v="Rusty Laser Pistol"/>
    <s v="~Sd. Walker"/>
    <m/>
    <m/>
    <s v="female"/>
    <n v="3.4285714285714284"/>
    <b v="1"/>
    <d v="2021-05-26T00:00:00"/>
  </r>
  <r>
    <x v="14"/>
    <n v="3"/>
    <n v="2"/>
    <n v="3"/>
    <n v="2"/>
    <n v="4"/>
    <n v="7"/>
    <n v="2"/>
    <n v="4"/>
    <s v="Hospital"/>
    <s v="Professor Outfit"/>
    <s v="armor"/>
    <m/>
    <s v="~Gl. Longfellow"/>
    <s v="Ms. J. Y. Longfellow"/>
    <s v="male"/>
    <m/>
    <b v="1"/>
    <m/>
  </r>
  <r>
    <x v="15"/>
    <n v="33"/>
    <n v="1"/>
    <n v="1"/>
    <n v="2"/>
    <n v="2"/>
    <n v="13"/>
    <n v="2"/>
    <n v="1"/>
    <s v="Hospital"/>
    <s v="Lab Coat"/>
    <s v="Wazer Wifle"/>
    <s v="~Sd. Wes Englund"/>
    <m/>
    <m/>
    <s v="female"/>
    <n v="3.1428571428571428"/>
    <b v="1"/>
    <d v="2021-05-26T00:00:00"/>
  </r>
  <r>
    <x v="16"/>
    <n v="29"/>
    <n v="2"/>
    <n v="2"/>
    <n v="2"/>
    <n v="3"/>
    <n v="13"/>
    <n v="3"/>
    <n v="9"/>
    <s v="Hospital"/>
    <s v="Lab Coat"/>
    <s v="Enhanced Sniper Rifle"/>
    <s v="~Sd. Payne"/>
    <s v="~Sd. Walker"/>
    <s v="Dr. Julia C. Walker"/>
    <s v="female"/>
    <n v="4.8571428571428568"/>
    <b v="1"/>
    <d v="2021-05-26T00:00:00"/>
  </r>
  <r>
    <x v="17"/>
    <n v="1"/>
    <n v="2"/>
    <n v="1"/>
    <n v="1"/>
    <n v="2"/>
    <n v="1"/>
    <n v="3"/>
    <n v="2"/>
    <s v="Cafeteria"/>
    <s v="Vault Suit"/>
    <s v="Pressurized Flamer"/>
    <m/>
    <s v="~Gl. Tenpenny"/>
    <s v="Ms. Rose M Tenpenny"/>
    <s v="female"/>
    <n v="1.7142857142857142"/>
    <b v="1"/>
    <d v="2021-05-26T00:00:00"/>
  </r>
  <r>
    <x v="18"/>
    <n v="12"/>
    <n v="2"/>
    <n v="2"/>
    <n v="2"/>
    <n v="15"/>
    <n v="1"/>
    <n v="2"/>
    <n v="1"/>
    <s v="Cafeteria"/>
    <s v="Naughty Nightwear"/>
    <s v="Hunting Rifle"/>
    <s v="~Gl. Longfellow"/>
    <m/>
    <m/>
    <s v="female"/>
    <n v="3.5714285714285716"/>
    <b v="0"/>
    <d v="2021-05-26T00:00:00"/>
  </r>
  <r>
    <x v="19"/>
    <n v="32"/>
    <n v="2"/>
    <n v="1"/>
    <n v="2"/>
    <n v="3"/>
    <n v="1"/>
    <n v="11"/>
    <n v="1"/>
    <s v="Cafeteria"/>
    <s v="Waitress Uniform"/>
    <s v="Enhanced Sawed-Off Shotgun"/>
    <s v="~Gl. Tenpenny"/>
    <m/>
    <m/>
    <s v="female"/>
    <n v="3"/>
    <b v="1"/>
    <d v="2021-05-26T00:00: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n v="4"/>
    <n v="0"/>
    <m/>
    <m/>
    <s v="C"/>
  </r>
  <r>
    <x v="1"/>
    <n v="6"/>
    <n v="3"/>
    <m/>
    <m/>
    <s v="A"/>
  </r>
  <r>
    <x v="2"/>
    <s v="-"/>
    <n v="1"/>
    <m/>
    <m/>
    <s v="-"/>
  </r>
  <r>
    <x v="3"/>
    <n v="2"/>
    <n v="2"/>
    <m/>
    <m/>
    <s v="-"/>
  </r>
  <r>
    <x v="4"/>
    <n v="6"/>
    <n v="3"/>
    <m/>
    <m/>
    <s v="I"/>
  </r>
  <r>
    <x v="5"/>
    <n v="3"/>
    <n v="0"/>
    <m/>
    <m/>
    <s v="-"/>
  </r>
  <r>
    <x v="6"/>
    <n v="6"/>
    <n v="4"/>
    <m/>
    <m/>
    <s v="S"/>
  </r>
  <r>
    <x v="7"/>
    <n v="6"/>
    <n v="1"/>
    <m/>
    <m/>
    <s v="I"/>
  </r>
  <r>
    <x v="8"/>
    <n v="6"/>
    <n v="6"/>
    <m/>
    <m/>
    <s v="P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F587E2-3DE1-46F3-8114-CBC5DEB94102}" name="ArmySpecialsAverage" cacheId="0" dataOnRows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35">
  <location ref="B13:C20" firstHeaderRow="1" firstDataRow="1" firstDataCol="1" rowPageCount="1" colPageCount="1"/>
  <pivotFields count="19">
    <pivotField axis="axisPage" multipleItemSelectionAllowed="1" showAll="0">
      <items count="61">
        <item x="0"/>
        <item m="1" x="50"/>
        <item x="3"/>
        <item x="4"/>
        <item x="9"/>
        <item h="1" m="1" x="49"/>
        <item h="1" m="1" x="28"/>
        <item h="1" m="1" x="43"/>
        <item h="1" m="1" x="33"/>
        <item h="1" m="1" x="46"/>
        <item x="1"/>
        <item h="1" x="18"/>
        <item h="1" m="1" x="42"/>
        <item h="1" m="1" x="36"/>
        <item h="1" m="1" x="39"/>
        <item x="6"/>
        <item h="1" m="1" x="40"/>
        <item h="1" x="16"/>
        <item h="1" x="15"/>
        <item x="8"/>
        <item h="1" m="1" x="51"/>
        <item h="1" m="1" x="22"/>
        <item h="1" m="1" x="45"/>
        <item h="1" m="1" x="47"/>
        <item h="1" m="1" x="27"/>
        <item h="1" m="1" x="24"/>
        <item h="1" m="1" x="30"/>
        <item h="1" m="1" x="56"/>
        <item h="1" m="1" x="55"/>
        <item h="1" m="1" x="54"/>
        <item h="1" m="1" x="58"/>
        <item h="1" m="1" x="52"/>
        <item h="1" m="1" x="38"/>
        <item h="1" m="1" x="34"/>
        <item h="1" m="1" x="23"/>
        <item h="1" x="19"/>
        <item h="1" m="1" x="48"/>
        <item h="1" m="1" x="21"/>
        <item h="1" m="1" x="25"/>
        <item h="1" m="1" x="57"/>
        <item h="1" m="1" x="53"/>
        <item h="1" m="1" x="35"/>
        <item h="1" m="1" x="41"/>
        <item h="1" m="1" x="31"/>
        <item h="1" m="1" x="37"/>
        <item h="1" m="1" x="26"/>
        <item h="1" x="7"/>
        <item h="1" x="5"/>
        <item h="1" m="1" x="44"/>
        <item h="1" m="1" x="32"/>
        <item h="1" m="1" x="29"/>
        <item h="1" m="1" x="20"/>
        <item h="1" m="1" x="59"/>
        <item h="1" x="17"/>
        <item h="1" x="10"/>
        <item h="1" x="13"/>
        <item h="1" x="14"/>
        <item h="1" x="2"/>
        <item h="1" x="11"/>
        <item h="1" x="12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-2"/>
  </rowFields>
  <row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rowItems>
  <colItems count="1">
    <i/>
  </colItems>
  <pageFields count="1">
    <pageField fld="0" hier="-1"/>
  </pageFields>
  <dataFields count="7">
    <dataField name="strength" fld="2" subtotal="average" baseField="0" baseItem="0"/>
    <dataField name="Perception" fld="3" subtotal="average" baseField="0" baseItem="0"/>
    <dataField name="Endurance" fld="4" subtotal="average" baseField="0" baseItem="0"/>
    <dataField name="Charisma" fld="5" subtotal="average" baseField="0" baseItem="0"/>
    <dataField name="Intelligence" fld="6" subtotal="average" baseField="0" baseItem="0"/>
    <dataField name="Agility" fld="7" subtotal="average" baseField="0" baseItem="0"/>
    <dataField name="Lucky" fld="8" subtotal="average" baseField="0" baseItem="0"/>
  </dataFields>
  <formats count="2">
    <format dxfId="13">
      <pivotArea collapsedLevelsAreSubtotals="1" fieldPosition="0">
        <references count="1">
          <reference field="4294967294" count="1">
            <x v="1"/>
          </reference>
        </references>
      </pivotArea>
    </format>
    <format dxfId="12">
      <pivotArea outline="0" collapsedLevelsAreSubtotals="1" fieldPosition="0"/>
    </format>
  </formats>
  <chartFormats count="1">
    <chartFormat chart="3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D20606-1001-4F6B-ABDB-53A6075C7F5D}" name="Jobs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3">
  <location ref="K1:M11" firstHeaderRow="0" firstDataRow="1" firstDataCol="1"/>
  <pivotFields count="6">
    <pivotField axis="axisRow" showAll="0" sortType="ascending">
      <items count="29">
        <item m="1" x="12"/>
        <item m="1" x="26"/>
        <item m="1" x="18"/>
        <item x="0"/>
        <item x="1"/>
        <item m="1" x="21"/>
        <item x="2"/>
        <item m="1" x="25"/>
        <item x="3"/>
        <item x="4"/>
        <item m="1" x="22"/>
        <item x="5"/>
        <item x="6"/>
        <item m="1" x="24"/>
        <item m="1" x="15"/>
        <item m="1" x="20"/>
        <item m="1" x="11"/>
        <item m="1" x="16"/>
        <item m="1" x="17"/>
        <item m="1" x="14"/>
        <item x="7"/>
        <item m="1" x="10"/>
        <item m="1" x="23"/>
        <item m="1" x="13"/>
        <item x="8"/>
        <item m="1" x="27"/>
        <item m="1" x="19"/>
        <item m="1" x="9"/>
        <item t="default"/>
      </items>
    </pivotField>
    <pivotField dataField="1" showAll="0"/>
    <pivotField dataField="1" showAll="0"/>
    <pivotField showAll="0"/>
    <pivotField showAll="0"/>
    <pivotField showAll="0"/>
  </pivotFields>
  <rowFields count="1">
    <field x="0"/>
  </rowFields>
  <rowItems count="10">
    <i>
      <x v="3"/>
    </i>
    <i>
      <x v="4"/>
    </i>
    <i>
      <x v="6"/>
    </i>
    <i>
      <x v="8"/>
    </i>
    <i>
      <x v="9"/>
    </i>
    <i>
      <x v="11"/>
    </i>
    <i>
      <x v="12"/>
    </i>
    <i>
      <x v="20"/>
    </i>
    <i>
      <x v="24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xDwellers" fld="1" baseField="0" baseItem="0"/>
    <dataField name="Soma de AssignedDwellers" fld="2" baseField="0" baseItem="0"/>
  </dataFields>
  <chartFormats count="2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B22DF9-B4B8-4B1E-8B60-C1B206590451}" name="Jobs" displayName="Jobs" ref="A1:F22" totalsRowShown="0">
  <autoFilter ref="A1:F22" xr:uid="{FD3AC5A5-C673-4329-A9CF-02FA12C6819A}"/>
  <sortState xmlns:xlrd2="http://schemas.microsoft.com/office/spreadsheetml/2017/richdata2" ref="A2:F22">
    <sortCondition ref="A1:A22"/>
  </sortState>
  <tableColumns count="6">
    <tableColumn id="1" xr3:uid="{2F28F6EB-2790-4FCD-B5E8-60083141A7E8}" name="Job"/>
    <tableColumn id="2" xr3:uid="{17F108EC-BA1F-487E-A4F3-423E5FC2C509}" name="MaxDwellers"/>
    <tableColumn id="3" xr3:uid="{65AC6823-CB77-4AE0-8FE0-E45EC7AC9F33}" name="AssignedDwellers" dataDxfId="11">
      <calculatedColumnFormula>COUNTIF(Dwellers[Job],Jobs[[#This Row],[Job]])</calculatedColumnFormula>
    </tableColumn>
    <tableColumn id="4" xr3:uid="{EC9431EC-9D3C-46F2-804D-3EC421AB8206}" name="Production"/>
    <tableColumn id="5" xr3:uid="{3B4B9236-C12C-45A7-BA12-7A065B37066F}" name="Storage"/>
    <tableColumn id="6" xr3:uid="{D085CB11-630C-4274-98B8-776DCAABCCAB}" name="Attribute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0B27E2-35E3-42FB-8723-253DA159EC38}" name="Dwellers" displayName="Dwellers" ref="A1:S21" totalsRowShown="0">
  <autoFilter ref="A1:S21" xr:uid="{B88D7095-8581-4372-A970-27C8E4A1C88E}"/>
  <sortState xmlns:xlrd2="http://schemas.microsoft.com/office/spreadsheetml/2017/richdata2" ref="A2:S21">
    <sortCondition ref="A1:A21"/>
  </sortState>
  <tableColumns count="19">
    <tableColumn id="1" xr3:uid="{98A47579-4996-4778-8C46-4F69857F8DA8}" name="Dweller"/>
    <tableColumn id="2" xr3:uid="{3ED25139-3CA1-43A3-972F-056957B571EA}" name="Lvl"/>
    <tableColumn id="3" xr3:uid="{AFA12468-89BE-45CF-9AE3-CEED6D26967E}" name="S"/>
    <tableColumn id="4" xr3:uid="{55B93F3A-EEC1-480E-9D9D-00DD8FE209E7}" name="P"/>
    <tableColumn id="5" xr3:uid="{B425160C-0E25-4BD9-A661-1C75B29072ED}" name="E" dataDxfId="7"/>
    <tableColumn id="6" xr3:uid="{8F25828D-E658-446B-8C94-7E4044FAEE26}" name="C" dataDxfId="6"/>
    <tableColumn id="7" xr3:uid="{BA67DF64-5C22-49AE-A9CF-AFFE4344B6FF}" name="I"/>
    <tableColumn id="8" xr3:uid="{36EC0144-1EB7-46D8-AF8A-F6C1289CE783}" name="A"/>
    <tableColumn id="9" xr3:uid="{DE7B7C74-DB30-4958-B7D3-ACF4E89C160D}" name="L"/>
    <tableColumn id="10" xr3:uid="{622221D1-9185-4639-9621-A5C998FECD56}" name="Job"/>
    <tableColumn id="11" xr3:uid="{9C0A56FB-50E2-4CAE-8456-AB2BA6F14685}" name="Outfit"/>
    <tableColumn id="12" xr3:uid="{6F5935A9-1B7C-4588-B157-9BACE0410338}" name="Weapon"/>
    <tableColumn id="13" xr3:uid="{67C549F2-CBE5-4DBB-8C11-C0B55DB553F3}" name="Relationship"/>
    <tableColumn id="14" xr3:uid="{032AE85B-C6FB-4271-B86A-E57EFDA8D8DB}" name="Father"/>
    <tableColumn id="15" xr3:uid="{19C7A0D3-B575-4D73-B0D8-83C9E3F51097}" name="Mother"/>
    <tableColumn id="20" xr3:uid="{F653B1F9-F145-409A-9406-4B252B3F8BAD}" name="Genre"/>
    <tableColumn id="16" xr3:uid="{8F3C64E4-8993-4252-A731-904E31D1C97B}" name="Stats average" dataDxfId="5"/>
    <tableColumn id="18" xr3:uid="{DFA55C26-5CA7-4363-9965-CBB86357D423}" name="StatsBuild" dataDxfId="4">
      <calculatedColumnFormula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calculatedColumnFormula>
    </tableColumn>
    <tableColumn id="19" xr3:uid="{B82AB2D1-9669-439E-9284-3FB578FDB093}" name="Born" dataDxfId="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932742-0A20-45C0-9ECC-C3779AC169D9}" name="Outfits" displayName="Outfits" ref="A1:I43" totalsRowShown="0">
  <autoFilter ref="A1:I43" xr:uid="{9A878AB3-45EE-4B6D-A117-BF4C2B5804C9}"/>
  <sortState xmlns:xlrd2="http://schemas.microsoft.com/office/spreadsheetml/2017/richdata2" ref="A2:I43">
    <sortCondition ref="A1:A43"/>
  </sortState>
  <tableColumns count="9">
    <tableColumn id="1" xr3:uid="{2E9320B5-D7EA-43E8-8CA8-FA9B4F242844}" name="Outfit"/>
    <tableColumn id="2" xr3:uid="{95D9AD3E-FE82-4968-938E-08B62D4238A0}" name="S"/>
    <tableColumn id="3" xr3:uid="{8942CC3C-177E-4992-B389-FB436A5D89A6}" name="P"/>
    <tableColumn id="4" xr3:uid="{4062C5E3-3DCF-45CC-A84F-F93DD233DF40}" name="E"/>
    <tableColumn id="5" xr3:uid="{301F9005-9AD6-41CF-9746-12533229564C}" name="C"/>
    <tableColumn id="6" xr3:uid="{5EC3FFDD-C75F-4C27-BD07-EB361F0EE680}" name="I"/>
    <tableColumn id="7" xr3:uid="{46DC4FCF-0C71-4C53-92A8-AA114F491106}" name="A"/>
    <tableColumn id="8" xr3:uid="{71CC9AF2-1D57-4310-9BEC-D8E4E8964549}" name="L"/>
    <tableColumn id="10" xr3:uid="{BB1444B4-9577-443A-B57F-D5ED0C0F4CD9}" name="Dweller" dataDxfId="2">
      <calculatedColumnFormula>IFERROR(INDEX(Dwellers[[Dweller]:[Outfit]],MATCH(Outfits[[#This Row],[Outfit]],Dwellers[Outfit],0),1),"")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5405E9F-BE6D-4118-BD27-B3D8F1F0DD7C}" name="Weapons" displayName="Weapons" ref="A1:D36" totalsRowShown="0">
  <autoFilter ref="A1:D36" xr:uid="{70EAAD25-5CAF-46AF-A32C-CC15DD9F9C0A}"/>
  <sortState xmlns:xlrd2="http://schemas.microsoft.com/office/spreadsheetml/2017/richdata2" ref="A2:D35">
    <sortCondition ref="A1:A35"/>
  </sortState>
  <tableColumns count="4">
    <tableColumn id="1" xr3:uid="{C7FD6203-6CF3-49BC-8FED-FEE9B7841718}" name="Weapon"/>
    <tableColumn id="2" xr3:uid="{EB38010B-0879-460B-A441-4A8D1BCCEC33}" name="Damage" dataDxfId="1"/>
    <tableColumn id="4" xr3:uid="{ED146FCB-ED78-4390-8AE8-50460B5A1C04}" name="Items"/>
    <tableColumn id="5" xr3:uid="{30C4C6F1-482B-40DE-977D-0AE29BC17ABC}" name="Dweller" dataDxfId="0">
      <calculatedColumnFormula>IFERROR(INDEX(Dwellers[[Dweller]:[Outfit]],MATCH(Weapons[[#This Row],[Weapon]],Dwellers[Weapon],0),1),"")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073AB3-829B-42BC-98BE-15D74DA41C6C}" name="Storage" displayName="Storage" ref="A1:B12" totalsRowShown="0">
  <autoFilter ref="A1:B12" xr:uid="{04BC76EE-E414-48FA-A713-371FA0F03EBC}"/>
  <sortState xmlns:xlrd2="http://schemas.microsoft.com/office/spreadsheetml/2017/richdata2" ref="A2:B4">
    <sortCondition ref="A1:A4"/>
  </sortState>
  <tableColumns count="2">
    <tableColumn id="1" xr3:uid="{63A34065-5083-4078-9273-6999576DFCC2}" name="Item"/>
    <tableColumn id="2" xr3:uid="{D801A3DE-0853-4673-8772-3AEFE0D8F847}" name="Total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BF412-7C44-4BFE-8147-40731255DD71}">
  <sheetPr codeName="Planilha1"/>
  <dimension ref="M16"/>
  <sheetViews>
    <sheetView showGridLines="0" showRowColHeaders="0" topLeftCell="F1" workbookViewId="0">
      <selection activeCell="M15" sqref="M15"/>
    </sheetView>
  </sheetViews>
  <sheetFormatPr defaultRowHeight="15" x14ac:dyDescent="0.25"/>
  <sheetData>
    <row r="16" spans="13:13" x14ac:dyDescent="0.25">
      <c r="M16" s="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Dwellers">
                <anchor moveWithCells="1">
                  <from>
                    <xdr:col>18</xdr:col>
                    <xdr:colOff>19050</xdr:colOff>
                    <xdr:row>1</xdr:row>
                    <xdr:rowOff>123825</xdr:rowOff>
                  </from>
                  <to>
                    <xdr:col>19</xdr:col>
                    <xdr:colOff>390525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Outfits">
                <anchor moveWithCells="1">
                  <from>
                    <xdr:col>18</xdr:col>
                    <xdr:colOff>19050</xdr:colOff>
                    <xdr:row>3</xdr:row>
                    <xdr:rowOff>114300</xdr:rowOff>
                  </from>
                  <to>
                    <xdr:col>19</xdr:col>
                    <xdr:colOff>390525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teWeapons">
                <anchor moveWithCells="1">
                  <from>
                    <xdr:col>18</xdr:col>
                    <xdr:colOff>19050</xdr:colOff>
                    <xdr:row>5</xdr:row>
                    <xdr:rowOff>114300</xdr:rowOff>
                  </from>
                  <to>
                    <xdr:col>19</xdr:col>
                    <xdr:colOff>390525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F6915-9F4A-474C-8FE2-BB3ED03FC53D}">
  <sheetPr codeName="Planilha2"/>
  <dimension ref="A1:M20"/>
  <sheetViews>
    <sheetView workbookViewId="0">
      <selection activeCell="B4" sqref="B4"/>
    </sheetView>
  </sheetViews>
  <sheetFormatPr defaultRowHeight="15" x14ac:dyDescent="0.25"/>
  <cols>
    <col min="1" max="1" width="10.85546875" bestFit="1" customWidth="1"/>
    <col min="2" max="2" width="11.5703125" bestFit="1" customWidth="1"/>
    <col min="3" max="3" width="15.140625" bestFit="1" customWidth="1"/>
    <col min="4" max="4" width="10.85546875" bestFit="1" customWidth="1"/>
    <col min="5" max="5" width="11" bestFit="1" customWidth="1"/>
    <col min="6" max="6" width="10.42578125" bestFit="1" customWidth="1"/>
    <col min="7" max="8" width="19.5703125" bestFit="1" customWidth="1"/>
    <col min="9" max="9" width="10.7109375" bestFit="1" customWidth="1"/>
    <col min="11" max="11" width="21.5703125" bestFit="1" customWidth="1"/>
    <col min="12" max="12" width="21" bestFit="1" customWidth="1"/>
    <col min="13" max="13" width="25.28515625" bestFit="1" customWidth="1"/>
  </cols>
  <sheetData>
    <row r="1" spans="1:13" x14ac:dyDescent="0.25">
      <c r="A1" t="s">
        <v>19</v>
      </c>
      <c r="B1">
        <f>COUNTIF(Dwellers[Dweller],"*Gl.*") + COUNTIF(Dwellers[Dweller],"*Sd.*")</f>
        <v>11</v>
      </c>
      <c r="D1" t="s">
        <v>41</v>
      </c>
      <c r="E1">
        <f>SUM(COUNTIF(Outfits[Outfit],Outfits[Dweller]=""),COUNTIF(Weapons[Weapon],Weapons[Dweller]=""),COUNTA(Storage[Item]))</f>
        <v>11</v>
      </c>
      <c r="K1" s="1" t="s">
        <v>25</v>
      </c>
      <c r="L1" t="s">
        <v>28</v>
      </c>
      <c r="M1" t="s">
        <v>27</v>
      </c>
    </row>
    <row r="2" spans="1:13" x14ac:dyDescent="0.25">
      <c r="A2" t="s">
        <v>16</v>
      </c>
      <c r="B2">
        <f>COUNTIFS(Dwellers[Dweller],"&lt;&gt;*Gl.*",Dwellers[Dweller],"&lt;&gt;*Sd.*",Dwellers[Dweller],"&lt;&gt;")</f>
        <v>9</v>
      </c>
      <c r="D2" t="s">
        <v>69</v>
      </c>
      <c r="E2">
        <v>60</v>
      </c>
      <c r="K2" s="2" t="s">
        <v>140</v>
      </c>
      <c r="L2" s="3">
        <v>4</v>
      </c>
      <c r="M2" s="3">
        <v>0</v>
      </c>
    </row>
    <row r="3" spans="1:13" x14ac:dyDescent="0.25">
      <c r="A3" t="s">
        <v>138</v>
      </c>
      <c r="B3">
        <v>92</v>
      </c>
      <c r="K3" s="2" t="s">
        <v>104</v>
      </c>
      <c r="L3" s="3">
        <v>6</v>
      </c>
      <c r="M3" s="3">
        <v>3</v>
      </c>
    </row>
    <row r="4" spans="1:13" x14ac:dyDescent="0.25">
      <c r="A4" t="s">
        <v>15</v>
      </c>
      <c r="B4" t="str">
        <f>SUM(B1:B2) &amp;"/" &amp;B3</f>
        <v>20/92</v>
      </c>
      <c r="K4" s="2" t="s">
        <v>24</v>
      </c>
      <c r="L4" s="3">
        <v>0</v>
      </c>
      <c r="M4" s="3">
        <v>1</v>
      </c>
    </row>
    <row r="5" spans="1:13" x14ac:dyDescent="0.25">
      <c r="A5" t="s">
        <v>17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K5" s="2" t="s">
        <v>32</v>
      </c>
      <c r="L5" s="3">
        <v>2</v>
      </c>
      <c r="M5" s="3">
        <v>2</v>
      </c>
    </row>
    <row r="6" spans="1:13" x14ac:dyDescent="0.25">
      <c r="A6" t="s">
        <v>18</v>
      </c>
      <c r="B6">
        <f>MEDIAN(Dwellers[S])</f>
        <v>2</v>
      </c>
      <c r="C6">
        <f>MEDIAN(Dwellers[P])</f>
        <v>4.5</v>
      </c>
      <c r="D6">
        <f>MEDIAN(Dwellers[E])</f>
        <v>3</v>
      </c>
      <c r="E6">
        <f>MEDIAN(Dwellers[C])</f>
        <v>2.5</v>
      </c>
      <c r="F6">
        <f>MEDIAN(Dwellers[I])</f>
        <v>2</v>
      </c>
      <c r="G6">
        <f>MEDIAN(Dwellers[A])</f>
        <v>3.5</v>
      </c>
      <c r="H6">
        <f>MEDIAN(Dwellers[L])</f>
        <v>3.5</v>
      </c>
      <c r="K6" s="2" t="s">
        <v>33</v>
      </c>
      <c r="L6" s="3">
        <v>6</v>
      </c>
      <c r="M6" s="3">
        <v>3</v>
      </c>
    </row>
    <row r="7" spans="1:13" x14ac:dyDescent="0.25">
      <c r="K7" s="2" t="s">
        <v>142</v>
      </c>
      <c r="L7" s="3">
        <v>3</v>
      </c>
      <c r="M7" s="3">
        <v>0</v>
      </c>
    </row>
    <row r="8" spans="1:13" x14ac:dyDescent="0.25">
      <c r="A8" t="s">
        <v>68</v>
      </c>
      <c r="B8">
        <f>COUNTIFS(Dwellers[StatsBuild],Dwellers[[#This Row],[StatsBuild]]=FALSE)</f>
        <v>12</v>
      </c>
      <c r="K8" s="2" t="s">
        <v>160</v>
      </c>
      <c r="L8" s="3">
        <v>6</v>
      </c>
      <c r="M8" s="3">
        <v>4</v>
      </c>
    </row>
    <row r="9" spans="1:13" x14ac:dyDescent="0.25">
      <c r="A9" t="s">
        <v>67</v>
      </c>
      <c r="B9">
        <f>COUNTIFS(Dwellers[StatsBuild],Dwellers[[#This Row],[StatsBuild]]=TRUE)</f>
        <v>12</v>
      </c>
      <c r="K9" s="2" t="s">
        <v>143</v>
      </c>
      <c r="L9" s="3">
        <v>6</v>
      </c>
      <c r="M9" s="3">
        <v>1</v>
      </c>
    </row>
    <row r="10" spans="1:13" x14ac:dyDescent="0.25">
      <c r="K10" s="2" t="s">
        <v>141</v>
      </c>
      <c r="L10" s="3">
        <v>6</v>
      </c>
      <c r="M10" s="3">
        <v>6</v>
      </c>
    </row>
    <row r="11" spans="1:13" x14ac:dyDescent="0.25">
      <c r="B11" s="1" t="s">
        <v>0</v>
      </c>
      <c r="C11" t="s">
        <v>70</v>
      </c>
      <c r="K11" s="2" t="s">
        <v>26</v>
      </c>
      <c r="L11" s="3">
        <v>39</v>
      </c>
      <c r="M11" s="3">
        <v>20</v>
      </c>
    </row>
    <row r="13" spans="1:13" x14ac:dyDescent="0.25">
      <c r="A13" t="s">
        <v>17</v>
      </c>
      <c r="B13" s="1" t="s">
        <v>71</v>
      </c>
    </row>
    <row r="14" spans="1:13" x14ac:dyDescent="0.25">
      <c r="A14" t="s">
        <v>18</v>
      </c>
      <c r="B14" s="2" t="s">
        <v>72</v>
      </c>
      <c r="C14" s="5">
        <v>10.857142857142858</v>
      </c>
    </row>
    <row r="15" spans="1:13" x14ac:dyDescent="0.25">
      <c r="B15" s="2" t="s">
        <v>73</v>
      </c>
      <c r="C15" s="5">
        <v>8.1428571428571423</v>
      </c>
    </row>
    <row r="16" spans="1:13" x14ac:dyDescent="0.25">
      <c r="B16" s="2" t="s">
        <v>74</v>
      </c>
      <c r="C16" s="5">
        <v>9.4285714285714288</v>
      </c>
    </row>
    <row r="17" spans="2:3" x14ac:dyDescent="0.25">
      <c r="B17" s="2" t="s">
        <v>75</v>
      </c>
      <c r="C17" s="5">
        <v>3.8571428571428572</v>
      </c>
    </row>
    <row r="18" spans="2:3" x14ac:dyDescent="0.25">
      <c r="B18" s="2" t="s">
        <v>76</v>
      </c>
      <c r="C18" s="5">
        <v>4</v>
      </c>
    </row>
    <row r="19" spans="2:3" x14ac:dyDescent="0.25">
      <c r="B19" s="2" t="s">
        <v>77</v>
      </c>
      <c r="C19" s="5">
        <v>4.1428571428571432</v>
      </c>
    </row>
    <row r="20" spans="2:3" x14ac:dyDescent="0.25">
      <c r="B20" s="2" t="s">
        <v>78</v>
      </c>
      <c r="C20" s="5">
        <v>4.4285714285714288</v>
      </c>
    </row>
  </sheetData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E8C49-0B39-434F-BE46-8CCAD62AD79C}">
  <sheetPr codeName="Planilha3"/>
  <dimension ref="A1:F22"/>
  <sheetViews>
    <sheetView workbookViewId="0"/>
  </sheetViews>
  <sheetFormatPr defaultRowHeight="15" x14ac:dyDescent="0.25"/>
  <cols>
    <col min="1" max="1" width="27" customWidth="1"/>
    <col min="2" max="2" width="15" bestFit="1" customWidth="1"/>
    <col min="3" max="3" width="19.28515625" bestFit="1" customWidth="1"/>
    <col min="4" max="4" width="13" bestFit="1" customWidth="1"/>
    <col min="5" max="5" width="10" bestFit="1" customWidth="1"/>
  </cols>
  <sheetData>
    <row r="1" spans="1:6" x14ac:dyDescent="0.25">
      <c r="A1" t="s">
        <v>8</v>
      </c>
      <c r="B1" t="s">
        <v>20</v>
      </c>
      <c r="C1" t="s">
        <v>21</v>
      </c>
      <c r="D1" t="s">
        <v>22</v>
      </c>
      <c r="E1" t="s">
        <v>23</v>
      </c>
      <c r="F1" t="s">
        <v>62</v>
      </c>
    </row>
    <row r="2" spans="1:6" x14ac:dyDescent="0.25">
      <c r="A2" t="s">
        <v>202</v>
      </c>
      <c r="B2">
        <v>4</v>
      </c>
      <c r="C2" s="3">
        <f>COUNTIF(Dwellers[Job],Jobs[[#This Row],[Job]])</f>
        <v>0</v>
      </c>
      <c r="F2" t="s">
        <v>5</v>
      </c>
    </row>
    <row r="3" spans="1:6" x14ac:dyDescent="0.25">
      <c r="A3" t="s">
        <v>209</v>
      </c>
      <c r="B3">
        <v>4</v>
      </c>
      <c r="C3" s="3">
        <f>COUNTIF(Dwellers[Job],Jobs[[#This Row],[Job]])</f>
        <v>0</v>
      </c>
      <c r="F3" t="s">
        <v>6</v>
      </c>
    </row>
    <row r="4" spans="1:6" x14ac:dyDescent="0.25">
      <c r="A4" t="s">
        <v>140</v>
      </c>
      <c r="B4">
        <v>4</v>
      </c>
      <c r="C4" s="3">
        <f>COUNTIF(Dwellers[Job],Jobs[[#This Row],[Job]])</f>
        <v>0</v>
      </c>
      <c r="F4" t="s">
        <v>4</v>
      </c>
    </row>
    <row r="5" spans="1:6" x14ac:dyDescent="0.25">
      <c r="A5" t="s">
        <v>199</v>
      </c>
      <c r="B5">
        <v>6</v>
      </c>
      <c r="C5" s="3">
        <f>COUNTIF(Dwellers[Job],Jobs[[#This Row],[Job]])</f>
        <v>0</v>
      </c>
      <c r="F5" t="s">
        <v>139</v>
      </c>
    </row>
    <row r="6" spans="1:6" x14ac:dyDescent="0.25">
      <c r="A6" t="s">
        <v>200</v>
      </c>
      <c r="B6">
        <v>4</v>
      </c>
      <c r="C6" s="3">
        <f>COUNTIF(Dwellers[Job],Jobs[[#This Row],[Job]])</f>
        <v>0</v>
      </c>
      <c r="F6" t="s">
        <v>139</v>
      </c>
    </row>
    <row r="7" spans="1:6" x14ac:dyDescent="0.25">
      <c r="A7" t="s">
        <v>201</v>
      </c>
      <c r="B7">
        <v>4</v>
      </c>
      <c r="C7" s="3">
        <f>COUNTIF(Dwellers[Job],Jobs[[#This Row],[Job]])</f>
        <v>0</v>
      </c>
      <c r="F7" t="s">
        <v>4</v>
      </c>
    </row>
    <row r="8" spans="1:6" x14ac:dyDescent="0.25">
      <c r="A8" t="s">
        <v>104</v>
      </c>
      <c r="B8">
        <v>6</v>
      </c>
      <c r="C8">
        <f>COUNTIF(Dwellers[Job],Jobs[[#This Row],[Job]])</f>
        <v>3</v>
      </c>
      <c r="F8" t="s">
        <v>6</v>
      </c>
    </row>
    <row r="9" spans="1:6" x14ac:dyDescent="0.25">
      <c r="A9" t="s">
        <v>203</v>
      </c>
      <c r="B9">
        <v>4</v>
      </c>
      <c r="C9" s="3">
        <f>COUNTIF(Dwellers[Job],Jobs[[#This Row],[Job]])</f>
        <v>0</v>
      </c>
      <c r="F9" t="s">
        <v>4</v>
      </c>
    </row>
    <row r="10" spans="1:6" x14ac:dyDescent="0.25">
      <c r="A10" t="s">
        <v>24</v>
      </c>
      <c r="B10" t="s">
        <v>139</v>
      </c>
      <c r="C10">
        <f>COUNTIF(Dwellers[Job],Jobs[[#This Row],[Job]])</f>
        <v>0</v>
      </c>
      <c r="F10" t="s">
        <v>139</v>
      </c>
    </row>
    <row r="11" spans="1:6" x14ac:dyDescent="0.25">
      <c r="A11" t="s">
        <v>210</v>
      </c>
      <c r="B11">
        <v>4</v>
      </c>
      <c r="C11" s="3">
        <f>COUNTIF(Dwellers[Job],Jobs[[#This Row],[Job]])</f>
        <v>1</v>
      </c>
      <c r="F11" t="s">
        <v>3</v>
      </c>
    </row>
    <row r="12" spans="1:6" x14ac:dyDescent="0.25">
      <c r="A12" t="s">
        <v>32</v>
      </c>
      <c r="B12">
        <v>2</v>
      </c>
      <c r="C12" s="3">
        <f>COUNTIF(Dwellers[Job],Jobs[[#This Row],[Job]])</f>
        <v>3</v>
      </c>
      <c r="F12" t="s">
        <v>139</v>
      </c>
    </row>
    <row r="13" spans="1:6" x14ac:dyDescent="0.25">
      <c r="A13" t="s">
        <v>204</v>
      </c>
      <c r="B13">
        <v>4</v>
      </c>
      <c r="C13" s="3">
        <f>COUNTIF(Dwellers[Job],Jobs[[#This Row],[Job]])</f>
        <v>0</v>
      </c>
      <c r="F13" t="s">
        <v>7</v>
      </c>
    </row>
    <row r="14" spans="1:6" x14ac:dyDescent="0.25">
      <c r="A14" t="s">
        <v>33</v>
      </c>
      <c r="B14">
        <v>6</v>
      </c>
      <c r="C14">
        <f>COUNTIF(Dwellers[Job],Jobs[[#This Row],[Job]])</f>
        <v>3</v>
      </c>
      <c r="F14" t="s">
        <v>5</v>
      </c>
    </row>
    <row r="15" spans="1:6" x14ac:dyDescent="0.25">
      <c r="A15" t="s">
        <v>142</v>
      </c>
      <c r="B15">
        <v>3</v>
      </c>
      <c r="C15" s="3">
        <f>COUNTIF(Dwellers[Job],Jobs[[#This Row],[Job]])</f>
        <v>1</v>
      </c>
      <c r="F15" t="s">
        <v>139</v>
      </c>
    </row>
    <row r="16" spans="1:6" x14ac:dyDescent="0.25">
      <c r="A16" t="s">
        <v>160</v>
      </c>
      <c r="B16">
        <v>6</v>
      </c>
      <c r="C16" s="3">
        <f>COUNTIF(Dwellers[Job],Jobs[[#This Row],[Job]])</f>
        <v>3</v>
      </c>
      <c r="F16" t="s">
        <v>1</v>
      </c>
    </row>
    <row r="17" spans="1:6" x14ac:dyDescent="0.25">
      <c r="A17" t="s">
        <v>205</v>
      </c>
      <c r="B17">
        <v>6</v>
      </c>
      <c r="C17" s="3">
        <f>COUNTIF(Dwellers[Job],Jobs[[#This Row],[Job]])</f>
        <v>1</v>
      </c>
      <c r="F17" t="s">
        <v>1</v>
      </c>
    </row>
    <row r="18" spans="1:6" x14ac:dyDescent="0.25">
      <c r="A18" t="s">
        <v>206</v>
      </c>
      <c r="B18">
        <v>6</v>
      </c>
      <c r="C18" s="3">
        <f>COUNTIF(Dwellers[Job],Jobs[[#This Row],[Job]])</f>
        <v>1</v>
      </c>
      <c r="F18" t="s">
        <v>1</v>
      </c>
    </row>
    <row r="19" spans="1:6" x14ac:dyDescent="0.25">
      <c r="A19" t="s">
        <v>143</v>
      </c>
      <c r="B19">
        <v>6</v>
      </c>
      <c r="C19">
        <f>COUNTIF(Dwellers[Job],Jobs[[#This Row],[Job]])</f>
        <v>1</v>
      </c>
      <c r="F19" t="s">
        <v>5</v>
      </c>
    </row>
    <row r="20" spans="1:6" x14ac:dyDescent="0.25">
      <c r="A20" t="s">
        <v>207</v>
      </c>
      <c r="B20">
        <v>4</v>
      </c>
      <c r="C20" s="3">
        <f>COUNTIF(Dwellers[Job],Jobs[[#This Row],[Job]])</f>
        <v>1</v>
      </c>
      <c r="F20" t="s">
        <v>1</v>
      </c>
    </row>
    <row r="21" spans="1:6" x14ac:dyDescent="0.25">
      <c r="A21" t="s">
        <v>208</v>
      </c>
      <c r="B21">
        <v>4</v>
      </c>
      <c r="C21" s="3">
        <f>COUNTIF(Dwellers[Job],Jobs[[#This Row],[Job]])</f>
        <v>0</v>
      </c>
      <c r="F21" t="s">
        <v>2</v>
      </c>
    </row>
    <row r="22" spans="1:6" x14ac:dyDescent="0.25">
      <c r="A22" t="s">
        <v>141</v>
      </c>
      <c r="B22">
        <v>6</v>
      </c>
      <c r="C22">
        <f>COUNTIF(Dwellers[Job],Jobs[[#This Row],[Job]])</f>
        <v>2</v>
      </c>
      <c r="F22" t="s">
        <v>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E9561-D884-43C2-93D3-0DFE26ADDF80}">
  <sheetPr codeName="Planilha4"/>
  <dimension ref="A1:V53"/>
  <sheetViews>
    <sheetView tabSelected="1" workbookViewId="0">
      <selection activeCell="J8" sqref="J8"/>
    </sheetView>
  </sheetViews>
  <sheetFormatPr defaultRowHeight="15" x14ac:dyDescent="0.25"/>
  <cols>
    <col min="1" max="1" width="28.5703125" customWidth="1"/>
    <col min="2" max="2" width="5.7109375" bestFit="1" customWidth="1"/>
    <col min="3" max="3" width="4.28515625" customWidth="1"/>
    <col min="4" max="4" width="4.140625" customWidth="1"/>
    <col min="5" max="5" width="4.28515625" customWidth="1"/>
    <col min="6" max="6" width="3.7109375" customWidth="1"/>
    <col min="7" max="7" width="4.42578125" customWidth="1"/>
    <col min="8" max="8" width="4" customWidth="1"/>
    <col min="9" max="9" width="4.140625" bestFit="1" customWidth="1"/>
    <col min="10" max="10" width="17.85546875" bestFit="1" customWidth="1"/>
    <col min="11" max="11" width="16.42578125" bestFit="1" customWidth="1"/>
    <col min="12" max="12" width="14.42578125" bestFit="1" customWidth="1"/>
    <col min="13" max="13" width="11.42578125" bestFit="1" customWidth="1"/>
    <col min="14" max="14" width="14" bestFit="1" customWidth="1"/>
    <col min="15" max="16" width="10.7109375" customWidth="1"/>
    <col min="17" max="17" width="12.85546875" customWidth="1"/>
    <col min="18" max="18" width="12.42578125" bestFit="1" customWidth="1"/>
    <col min="19" max="19" width="10.7109375" bestFit="1" customWidth="1"/>
    <col min="20" max="20" width="10.7109375" customWidth="1"/>
    <col min="21" max="22" width="12.42578125" bestFit="1" customWidth="1"/>
  </cols>
  <sheetData>
    <row r="1" spans="1:22" x14ac:dyDescent="0.25">
      <c r="A1" t="s">
        <v>0</v>
      </c>
      <c r="B1" t="s">
        <v>54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12</v>
      </c>
      <c r="L1" t="s">
        <v>13</v>
      </c>
      <c r="M1" t="s">
        <v>9</v>
      </c>
      <c r="N1" t="s">
        <v>10</v>
      </c>
      <c r="O1" t="s">
        <v>11</v>
      </c>
      <c r="P1" t="s">
        <v>64</v>
      </c>
      <c r="Q1" t="s">
        <v>61</v>
      </c>
      <c r="R1" t="s">
        <v>63</v>
      </c>
      <c r="S1" t="s">
        <v>137</v>
      </c>
    </row>
    <row r="2" spans="1:22" x14ac:dyDescent="0.25">
      <c r="A2" t="s">
        <v>147</v>
      </c>
      <c r="B2">
        <v>50</v>
      </c>
      <c r="C2">
        <f>10+IFERROR(VLOOKUP(Dwellers[[#This Row],[Outfit]],Outfits[#All],2,FALSE),0)</f>
        <v>12</v>
      </c>
      <c r="D2">
        <f>7+IFERROR(VLOOKUP(Dwellers[[#This Row],[Outfit]],Outfits[#All],3,FALSE),0)</f>
        <v>7</v>
      </c>
      <c r="E2" s="3">
        <f>8+IFERROR(VLOOKUP(Dwellers[[#This Row],[Outfit]],Outfits[#All],4,FALSE),0)</f>
        <v>10</v>
      </c>
      <c r="F2" s="3">
        <f>4+IFERROR(VLOOKUP(Dwellers[[#This Row],[Outfit]],Outfits[#All],5,FALSE),0)</f>
        <v>6</v>
      </c>
      <c r="G2">
        <f>6+IFERROR(VLOOKUP(Dwellers[[#This Row],[Outfit]],Outfits[#All],6,FALSE),0)</f>
        <v>6</v>
      </c>
      <c r="H2">
        <f>4+IFERROR(VLOOKUP(Dwellers[[#This Row],[Outfit]],Outfits[#All],7,FALSE),0)</f>
        <v>4</v>
      </c>
      <c r="I2">
        <f>7+IFERROR(VLOOKUP(Dwellers[[#This Row],[Outfit]],Outfits[#All],8,FALSE),0)</f>
        <v>9</v>
      </c>
      <c r="J2" t="s">
        <v>142</v>
      </c>
      <c r="K2" t="s">
        <v>58</v>
      </c>
      <c r="L2" t="s">
        <v>59</v>
      </c>
      <c r="M2" t="s">
        <v>148</v>
      </c>
      <c r="P2" t="s">
        <v>149</v>
      </c>
      <c r="Q2" s="7">
        <f>AVERAGE(Dwellers[[#This Row],[S]:[L]])</f>
        <v>7.7142857142857144</v>
      </c>
      <c r="R2" s="3" t="str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/>
      </c>
      <c r="S2" s="8">
        <v>44342</v>
      </c>
      <c r="U2" t="s">
        <v>177</v>
      </c>
      <c r="V2">
        <f>AVERAGE(Dwellers[[#This Row],[S]:[L]])</f>
        <v>7.7142857142857144</v>
      </c>
    </row>
    <row r="3" spans="1:22" x14ac:dyDescent="0.25">
      <c r="A3" t="s">
        <v>162</v>
      </c>
      <c r="B3">
        <v>50</v>
      </c>
      <c r="C3">
        <f>10+IFERROR(VLOOKUP(Dwellers[[#This Row],[Outfit]],Outfits[#All],2,FALSE),0)</f>
        <v>10</v>
      </c>
      <c r="D3">
        <f>9+IFERROR(VLOOKUP(Dwellers[[#This Row],[Outfit]],Outfits[#All],3,FALSE),0)</f>
        <v>11</v>
      </c>
      <c r="E3" s="3">
        <f>10+IFERROR(VLOOKUP(Dwellers[[#This Row],[Outfit]],Outfits[#All],4,FALSE),0)</f>
        <v>10</v>
      </c>
      <c r="F3" s="3">
        <f>9+IFERROR(VLOOKUP(Dwellers[[#This Row],[Outfit]],Outfits[#All],5,FALSE),0)</f>
        <v>11</v>
      </c>
      <c r="G3">
        <f>7+IFERROR(VLOOKUP(Dwellers[[#This Row],[Outfit]],Outfits[#All],6,FALSE),0)</f>
        <v>9</v>
      </c>
      <c r="H3">
        <f>2+IFERROR(VLOOKUP(Dwellers[[#This Row],[Outfit]],Outfits[#All],7,FALSE),0)</f>
        <v>2</v>
      </c>
      <c r="I3">
        <f>9+IFERROR(VLOOKUP(Dwellers[[#This Row],[Outfit]],Outfits[#All],8,FALSE),0)</f>
        <v>10</v>
      </c>
      <c r="J3" t="s">
        <v>32</v>
      </c>
      <c r="K3" t="s">
        <v>65</v>
      </c>
      <c r="L3" t="s">
        <v>161</v>
      </c>
      <c r="M3" t="s">
        <v>163</v>
      </c>
      <c r="P3" t="s">
        <v>149</v>
      </c>
      <c r="Q3" s="7">
        <f>AVERAGE(Dwellers[[#This Row],[S]:[L]])</f>
        <v>9</v>
      </c>
      <c r="R3" s="3" t="str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/>
      </c>
      <c r="S3" s="8">
        <v>44342</v>
      </c>
      <c r="U3" t="s">
        <v>178</v>
      </c>
      <c r="V3">
        <f>LARGE(C3:I3,1)</f>
        <v>11</v>
      </c>
    </row>
    <row r="4" spans="1:22" x14ac:dyDescent="0.25">
      <c r="A4" t="s">
        <v>189</v>
      </c>
      <c r="B4">
        <v>1</v>
      </c>
      <c r="C4">
        <f>1+IFERROR(VLOOKUP(Dwellers[[#This Row],[Outfit]],Outfits[#All],2,FALSE),0)</f>
        <v>1</v>
      </c>
      <c r="D4">
        <f>2+IFERROR(VLOOKUP(Dwellers[[#This Row],[Outfit]],Outfits[#All],3,FALSE),0)</f>
        <v>3</v>
      </c>
      <c r="E4" s="3">
        <f>3+IFERROR(VLOOKUP(Dwellers[[#This Row],[Outfit]],Outfits[#All],4,FALSE),0)</f>
        <v>3</v>
      </c>
      <c r="F4" s="3">
        <f>1+IFERROR(VLOOKUP(Dwellers[[#This Row],[Outfit]],Outfits[#All],5,FALSE),0)</f>
        <v>1</v>
      </c>
      <c r="G4">
        <f>1+IFERROR(VLOOKUP(Dwellers[[#This Row],[Outfit]],Outfits[#All],6,FALSE),0)</f>
        <v>1</v>
      </c>
      <c r="H4">
        <f>2+IFERROR(VLOOKUP(Dwellers[[#This Row],[Outfit]],Outfits[#All],7,FALSE),0)</f>
        <v>4</v>
      </c>
      <c r="I4">
        <f>2+IFERROR(VLOOKUP(Dwellers[[#This Row],[Outfit]],Outfits[#All],8,FALSE),0)</f>
        <v>4</v>
      </c>
      <c r="J4" t="s">
        <v>210</v>
      </c>
      <c r="K4" t="s">
        <v>136</v>
      </c>
      <c r="L4" t="s">
        <v>164</v>
      </c>
      <c r="N4" t="s">
        <v>157</v>
      </c>
      <c r="O4" t="s">
        <v>156</v>
      </c>
      <c r="P4" t="s">
        <v>158</v>
      </c>
      <c r="Q4" s="7">
        <f>AVERAGE(Dwellers[[#This Row],[S]:[L]])</f>
        <v>2.4285714285714284</v>
      </c>
      <c r="R4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4" s="8">
        <v>44342</v>
      </c>
      <c r="U4" t="s">
        <v>179</v>
      </c>
      <c r="V4" t="str">
        <f>IF(LARGE(C3:I3,1)=LARGE(C3:I3,2),"mais de um","só um")</f>
        <v>mais de um</v>
      </c>
    </row>
    <row r="5" spans="1:22" x14ac:dyDescent="0.25">
      <c r="A5" t="s">
        <v>157</v>
      </c>
      <c r="B5">
        <v>50</v>
      </c>
      <c r="C5">
        <f>10+IFERROR(VLOOKUP(Dwellers[[#This Row],[Outfit]],Outfits[#All],2,FALSE),0)</f>
        <v>12</v>
      </c>
      <c r="D5">
        <f>10+IFERROR(VLOOKUP(Dwellers[[#This Row],[Outfit]],Outfits[#All],3,FALSE),0)</f>
        <v>14</v>
      </c>
      <c r="E5" s="3">
        <f>10+IFERROR(VLOOKUP(Dwellers[[#This Row],[Outfit]],Outfits[#All],4,FALSE),0)</f>
        <v>10</v>
      </c>
      <c r="F5" s="3">
        <f>1+IFERROR(VLOOKUP(Dwellers[[#This Row],[Outfit]],Outfits[#All],5,FALSE),0)</f>
        <v>1</v>
      </c>
      <c r="G5">
        <f>2+IFERROR(VLOOKUP(Dwellers[[#This Row],[Outfit]],Outfits[#All],6,FALSE),0)</f>
        <v>2</v>
      </c>
      <c r="H5">
        <f>4+IFERROR(VLOOKUP(Dwellers[[#This Row],[Outfit]],Outfits[#All],7,FALSE),0)</f>
        <v>4</v>
      </c>
      <c r="I5">
        <f>3+IFERROR(VLOOKUP(Dwellers[[#This Row],[Outfit]],Outfits[#All],8,FALSE),0)</f>
        <v>3</v>
      </c>
      <c r="J5" t="s">
        <v>32</v>
      </c>
      <c r="K5" t="s">
        <v>169</v>
      </c>
      <c r="L5" t="s">
        <v>132</v>
      </c>
      <c r="M5" t="s">
        <v>156</v>
      </c>
      <c r="P5" t="s">
        <v>149</v>
      </c>
      <c r="Q5" s="7">
        <f>AVERAGE(Dwellers[[#This Row],[S]:[L]])</f>
        <v>6.5714285714285712</v>
      </c>
      <c r="R5" s="3" t="str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/>
      </c>
      <c r="S5" s="8">
        <v>44342</v>
      </c>
      <c r="U5" t="s">
        <v>180</v>
      </c>
      <c r="V5" t="str">
        <f>VLOOKUP(J3,Jobs[],6,FALSE)</f>
        <v>-</v>
      </c>
    </row>
    <row r="6" spans="1:22" x14ac:dyDescent="0.25">
      <c r="A6" t="s">
        <v>156</v>
      </c>
      <c r="B6">
        <v>50</v>
      </c>
      <c r="C6">
        <f>10+IFERROR(VLOOKUP(Dwellers[[#This Row],[Outfit]],Outfits[#All],2,FALSE),0)</f>
        <v>13</v>
      </c>
      <c r="D6">
        <f>4+IFERROR(VLOOKUP(Dwellers[[#This Row],[Outfit]],Outfits[#All],3,FALSE),0)</f>
        <v>5</v>
      </c>
      <c r="E6" s="3">
        <f>10+IFERROR(VLOOKUP(Dwellers[[#This Row],[Outfit]],Outfits[#All],4,FALSE),0)</f>
        <v>10</v>
      </c>
      <c r="F6" s="3">
        <f>2+IFERROR(VLOOKUP(Dwellers[[#This Row],[Outfit]],Outfits[#All],5,FALSE),0)</f>
        <v>2</v>
      </c>
      <c r="G6">
        <f>1+IFERROR(VLOOKUP(Dwellers[[#This Row],[Outfit]],Outfits[#All],6,FALSE),0)</f>
        <v>1</v>
      </c>
      <c r="H6">
        <f>5+IFERROR(VLOOKUP(Dwellers[[#This Row],[Outfit]],Outfits[#All],7,FALSE),0)</f>
        <v>5</v>
      </c>
      <c r="I6">
        <f>1+IFERROR(VLOOKUP(Dwellers[[#This Row],[Outfit]],Outfits[#All],8,FALSE),0)</f>
        <v>1</v>
      </c>
      <c r="J6" t="s">
        <v>205</v>
      </c>
      <c r="K6" t="s">
        <v>155</v>
      </c>
      <c r="L6" t="s">
        <v>135</v>
      </c>
      <c r="M6" t="s">
        <v>157</v>
      </c>
      <c r="P6" t="s">
        <v>158</v>
      </c>
      <c r="Q6" s="7">
        <f>AVERAGE(Dwellers[[#This Row],[S]:[L]])</f>
        <v>5.2857142857142856</v>
      </c>
      <c r="R6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6" s="8">
        <v>44342</v>
      </c>
      <c r="U6" t="s">
        <v>181</v>
      </c>
      <c r="V6" t="e">
        <f>MATCH(VLOOKUP(J3,Jobs[],6,FALSE),Dwellers[[#Headers],[S]:[L]],0)</f>
        <v>#N/A</v>
      </c>
    </row>
    <row r="7" spans="1:22" x14ac:dyDescent="0.25">
      <c r="A7" t="s">
        <v>170</v>
      </c>
      <c r="B7">
        <v>50</v>
      </c>
      <c r="C7">
        <f>7+IFERROR(VLOOKUP(Dwellers[[#This Row],[Outfit]],Outfits[#All],2,FALSE),0)</f>
        <v>7</v>
      </c>
      <c r="D7">
        <f>7+IFERROR(VLOOKUP(Dwellers[[#This Row],[Outfit]],Outfits[#All],3,FALSE),0)</f>
        <v>8</v>
      </c>
      <c r="E7" s="3">
        <f>8+IFERROR(VLOOKUP(Dwellers[[#This Row],[Outfit]],Outfits[#All],4,FALSE),0)</f>
        <v>8</v>
      </c>
      <c r="F7" s="3">
        <f>5+IFERROR(VLOOKUP(Dwellers[[#This Row],[Outfit]],Outfits[#All],5,FALSE),0)</f>
        <v>5</v>
      </c>
      <c r="G7">
        <f>5+IFERROR(VLOOKUP(Dwellers[[#This Row],[Outfit]],Outfits[#All],6,FALSE),0)</f>
        <v>5</v>
      </c>
      <c r="H7">
        <f>4+IFERROR(VLOOKUP(Dwellers[[#This Row],[Outfit]],Outfits[#All],7,FALSE),0)</f>
        <v>6</v>
      </c>
      <c r="I7">
        <f>2+IFERROR(VLOOKUP(Dwellers[[#This Row],[Outfit]],Outfits[#All],8,FALSE),0)</f>
        <v>4</v>
      </c>
      <c r="J7" t="s">
        <v>206</v>
      </c>
      <c r="K7" t="s">
        <v>136</v>
      </c>
      <c r="L7" t="s">
        <v>66</v>
      </c>
      <c r="P7" t="s">
        <v>149</v>
      </c>
      <c r="Q7" s="7">
        <f>AVERAGE(Dwellers[[#This Row],[S]:[L]])</f>
        <v>6.1428571428571432</v>
      </c>
      <c r="R7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7" s="8">
        <v>44342</v>
      </c>
      <c r="U7" t="s">
        <v>182</v>
      </c>
      <c r="V7" t="e">
        <f>INDEX(C3:I3,1,V6)</f>
        <v>#N/A</v>
      </c>
    </row>
    <row r="8" spans="1:22" x14ac:dyDescent="0.25">
      <c r="A8" t="s">
        <v>166</v>
      </c>
      <c r="B8">
        <v>50</v>
      </c>
      <c r="C8">
        <f>6+IFERROR(VLOOKUP(Dwellers[[#This Row],[Outfit]],Outfits[#All],2,FALSE),0)</f>
        <v>8</v>
      </c>
      <c r="D8">
        <f>9+IFERROR(VLOOKUP(Dwellers[[#This Row],[Outfit]],Outfits[#All],3,FALSE),0)</f>
        <v>11</v>
      </c>
      <c r="E8" s="3">
        <f>2+IFERROR(VLOOKUP(Dwellers[[#This Row],[Outfit]],Outfits[#All],4,FALSE),0)</f>
        <v>2</v>
      </c>
      <c r="F8" s="3">
        <f>3+IFERROR(VLOOKUP(Dwellers[[#This Row],[Outfit]],Outfits[#All],5,FALSE),0)</f>
        <v>3</v>
      </c>
      <c r="G8">
        <f>2+IFERROR(VLOOKUP(Dwellers[[#This Row],[Outfit]],Outfits[#All],6,FALSE),0)</f>
        <v>2</v>
      </c>
      <c r="H8">
        <f>1+IFERROR(VLOOKUP(Dwellers[[#This Row],[Outfit]],Outfits[#All],7,FALSE),0)</f>
        <v>1</v>
      </c>
      <c r="I8">
        <f>1+IFERROR(VLOOKUP(Dwellers[[#This Row],[Outfit]],Outfits[#All],8,FALSE),0)</f>
        <v>2</v>
      </c>
      <c r="J8" t="s">
        <v>207</v>
      </c>
      <c r="K8" t="s">
        <v>83</v>
      </c>
      <c r="L8" t="s">
        <v>150</v>
      </c>
      <c r="P8" t="s">
        <v>149</v>
      </c>
      <c r="Q8" s="7">
        <f>AVERAGE(Dwellers[[#This Row],[S]:[L]])</f>
        <v>4.1428571428571432</v>
      </c>
      <c r="R8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0</v>
      </c>
      <c r="S8" s="8">
        <v>44342</v>
      </c>
      <c r="U8" t="s">
        <v>183</v>
      </c>
      <c r="V8" t="e">
        <f>INDEX(C3:I3,1,V6)&gt;V2</f>
        <v>#N/A</v>
      </c>
    </row>
    <row r="9" spans="1:22" x14ac:dyDescent="0.25">
      <c r="A9" t="s">
        <v>159</v>
      </c>
      <c r="B9">
        <v>35</v>
      </c>
      <c r="C9">
        <f>10+IFERROR(VLOOKUP(Dwellers[[#This Row],[Outfit]],Outfits[#All],2,FALSE),0)</f>
        <v>10</v>
      </c>
      <c r="D9">
        <f>8+IFERROR(VLOOKUP(Dwellers[[#This Row],[Outfit]],Outfits[#All],3,FALSE),0)</f>
        <v>8</v>
      </c>
      <c r="E9" s="3">
        <f>10+IFERROR(VLOOKUP(Dwellers[[#This Row],[Outfit]],Outfits[#All],4,FALSE),0)</f>
        <v>10</v>
      </c>
      <c r="F9" s="3">
        <f>2+IFERROR(VLOOKUP(Dwellers[[#This Row],[Outfit]],Outfits[#All],5,FALSE),0)</f>
        <v>2</v>
      </c>
      <c r="G9">
        <f>1+IFERROR(VLOOKUP(Dwellers[[#This Row],[Outfit]],Outfits[#All],6,FALSE),0)</f>
        <v>1</v>
      </c>
      <c r="H9">
        <f>6+IFERROR(VLOOKUP(Dwellers[[#This Row],[Outfit]],Outfits[#All],7,FALSE),0)</f>
        <v>6</v>
      </c>
      <c r="I9">
        <f>3+IFERROR(VLOOKUP(Dwellers[[#This Row],[Outfit]],Outfits[#All],8,FALSE),0)</f>
        <v>6</v>
      </c>
      <c r="J9" t="s">
        <v>160</v>
      </c>
      <c r="K9" t="s">
        <v>134</v>
      </c>
      <c r="L9" t="s">
        <v>30</v>
      </c>
      <c r="P9" t="s">
        <v>149</v>
      </c>
      <c r="Q9" s="7">
        <f>AVERAGE(Dwellers[[#This Row],[S]:[L]])</f>
        <v>6.1428571428571432</v>
      </c>
      <c r="R9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9" s="8">
        <v>44342</v>
      </c>
    </row>
    <row r="10" spans="1:22" x14ac:dyDescent="0.25">
      <c r="A10" t="s">
        <v>152</v>
      </c>
      <c r="B10">
        <v>50</v>
      </c>
      <c r="C10">
        <f>10+IFERROR(VLOOKUP(Dwellers[[#This Row],[Outfit]],Outfits[#All],2,FALSE),0)</f>
        <v>10</v>
      </c>
      <c r="D10">
        <f>7+IFERROR(VLOOKUP(Dwellers[[#This Row],[Outfit]],Outfits[#All],3,FALSE),0)</f>
        <v>7</v>
      </c>
      <c r="E10" s="3">
        <f>10+IFERROR(VLOOKUP(Dwellers[[#This Row],[Outfit]],Outfits[#All],4,FALSE),0)</f>
        <v>14</v>
      </c>
      <c r="F10" s="3">
        <f>3+IFERROR(VLOOKUP(Dwellers[[#This Row],[Outfit]],Outfits[#All],5,FALSE),0)</f>
        <v>3</v>
      </c>
      <c r="G10">
        <f>6+IFERROR(VLOOKUP(Dwellers[[#This Row],[Outfit]],Outfits[#All],6,FALSE),0)</f>
        <v>6</v>
      </c>
      <c r="H10">
        <f>9+IFERROR(VLOOKUP(Dwellers[[#This Row],[Outfit]],Outfits[#All],7,FALSE),0)</f>
        <v>9</v>
      </c>
      <c r="I10">
        <f>3+IFERROR(VLOOKUP(Dwellers[[#This Row],[Outfit]],Outfits[#All],8,FALSE),0)</f>
        <v>4</v>
      </c>
      <c r="J10" t="s">
        <v>160</v>
      </c>
      <c r="K10" t="s">
        <v>89</v>
      </c>
      <c r="L10" t="s">
        <v>150</v>
      </c>
      <c r="P10" t="s">
        <v>149</v>
      </c>
      <c r="Q10" s="7">
        <f>AVERAGE(Dwellers[[#This Row],[S]:[L]])</f>
        <v>7.5714285714285712</v>
      </c>
      <c r="R10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0</v>
      </c>
      <c r="S10" s="8">
        <v>44342</v>
      </c>
    </row>
    <row r="11" spans="1:22" x14ac:dyDescent="0.25">
      <c r="A11" t="s">
        <v>154</v>
      </c>
      <c r="B11">
        <v>50</v>
      </c>
      <c r="C11">
        <f>9+IFERROR(VLOOKUP(Dwellers[[#This Row],[Outfit]],Outfits[#All],2,FALSE),0)</f>
        <v>11</v>
      </c>
      <c r="D11">
        <f>2+IFERROR(VLOOKUP(Dwellers[[#This Row],[Outfit]],Outfits[#All],3,FALSE),0)</f>
        <v>2</v>
      </c>
      <c r="E11" s="3">
        <f>10+IFERROR(VLOOKUP(Dwellers[[#This Row],[Outfit]],Outfits[#All],4,FALSE),0)</f>
        <v>10</v>
      </c>
      <c r="F11" s="3">
        <f>1+IFERROR(VLOOKUP(Dwellers[[#This Row],[Outfit]],Outfits[#All],5,FALSE),0)</f>
        <v>1</v>
      </c>
      <c r="G11">
        <f>2+IFERROR(VLOOKUP(Dwellers[[#This Row],[Outfit]],Outfits[#All],6,FALSE),0)</f>
        <v>2</v>
      </c>
      <c r="H11">
        <f>2+IFERROR(VLOOKUP(Dwellers[[#This Row],[Outfit]],Outfits[#All],7,FALSE),0)</f>
        <v>4</v>
      </c>
      <c r="I11">
        <f>1+IFERROR(VLOOKUP(Dwellers[[#This Row],[Outfit]],Outfits[#All],8,FALSE),0)</f>
        <v>2</v>
      </c>
      <c r="J11" t="s">
        <v>160</v>
      </c>
      <c r="K11" t="s">
        <v>153</v>
      </c>
      <c r="L11" t="s">
        <v>47</v>
      </c>
      <c r="P11" t="s">
        <v>149</v>
      </c>
      <c r="Q11" s="7">
        <f>AVERAGE(Dwellers[[#This Row],[S]:[L]])</f>
        <v>4.5714285714285712</v>
      </c>
      <c r="R11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11" s="8">
        <v>44342</v>
      </c>
    </row>
    <row r="12" spans="1:22" x14ac:dyDescent="0.25">
      <c r="A12" t="s">
        <v>171</v>
      </c>
      <c r="B12">
        <v>50</v>
      </c>
      <c r="C12">
        <f>2+IFERROR(VLOOKUP(Dwellers[[#This Row],[Outfit]],Outfits[#All],2,FALSE),0)</f>
        <v>2</v>
      </c>
      <c r="D12">
        <f>8+IFERROR(VLOOKUP(Dwellers[[#This Row],[Outfit]],Outfits[#All],3,FALSE),0)</f>
        <v>8</v>
      </c>
      <c r="E12" s="3">
        <f>6+IFERROR(VLOOKUP(Dwellers[[#This Row],[Outfit]],Outfits[#All],4,FALSE),0)</f>
        <v>6</v>
      </c>
      <c r="F12" s="3">
        <f>1+IFERROR(VLOOKUP(Dwellers[[#This Row],[Outfit]],Outfits[#All],5,FALSE),0)</f>
        <v>1</v>
      </c>
      <c r="G12">
        <f>2+IFERROR(VLOOKUP(Dwellers[[#This Row],[Outfit]],Outfits[#All],6,FALSE),0)</f>
        <v>2</v>
      </c>
      <c r="H12">
        <f>10+IFERROR(VLOOKUP(Dwellers[[#This Row],[Outfit]],Outfits[#All],7,FALSE),0)</f>
        <v>15</v>
      </c>
      <c r="I12">
        <f>1+IFERROR(VLOOKUP(Dwellers[[#This Row],[Outfit]],Outfits[#All],8,FALSE),0)</f>
        <v>1</v>
      </c>
      <c r="J12" t="s">
        <v>32</v>
      </c>
      <c r="K12" t="s">
        <v>144</v>
      </c>
      <c r="L12" t="s">
        <v>145</v>
      </c>
      <c r="N12" t="s">
        <v>147</v>
      </c>
      <c r="O12" t="s">
        <v>148</v>
      </c>
      <c r="P12" t="s">
        <v>149</v>
      </c>
      <c r="Q12" s="7">
        <f>AVERAGE(Dwellers[[#This Row],[S]:[L]])</f>
        <v>5</v>
      </c>
      <c r="R12" s="3" t="str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/>
      </c>
      <c r="S12" s="8">
        <v>44342</v>
      </c>
    </row>
    <row r="13" spans="1:22" x14ac:dyDescent="0.25">
      <c r="A13" t="s">
        <v>193</v>
      </c>
      <c r="B13">
        <v>8</v>
      </c>
      <c r="C13">
        <f>1+IFERROR(VLOOKUP(Dwellers[[#This Row],[Outfit]],Outfits[#All],2,FALSE),0)</f>
        <v>1</v>
      </c>
      <c r="D13">
        <f>2+IFERROR(VLOOKUP(Dwellers[[#This Row],[Outfit]],Outfits[#All],3,FALSE),0)</f>
        <v>5</v>
      </c>
      <c r="E13" s="3">
        <f>2+IFERROR(VLOOKUP(Dwellers[[#This Row],[Outfit]],Outfits[#All],4,FALSE),0)</f>
        <v>2</v>
      </c>
      <c r="F13" s="3">
        <f>2+IFERROR(VLOOKUP(Dwellers[[#This Row],[Outfit]],Outfits[#All],5,FALSE),0)</f>
        <v>2</v>
      </c>
      <c r="G13">
        <f>2+IFERROR(VLOOKUP(Dwellers[[#This Row],[Outfit]],Outfits[#All],6,FALSE),0)</f>
        <v>2</v>
      </c>
      <c r="H13">
        <f>1+IFERROR(VLOOKUP(Dwellers[[#This Row],[Outfit]],Outfits[#All],7,FALSE),0)</f>
        <v>1</v>
      </c>
      <c r="I13">
        <f>2+IFERROR(VLOOKUP(Dwellers[[#This Row],[Outfit]],Outfits[#All],8,FALSE),0)</f>
        <v>4</v>
      </c>
      <c r="J13" t="s">
        <v>141</v>
      </c>
      <c r="K13" t="s">
        <v>190</v>
      </c>
      <c r="L13" t="s">
        <v>185</v>
      </c>
      <c r="P13" t="s">
        <v>149</v>
      </c>
      <c r="Q13" s="3"/>
      <c r="R13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13" s="8"/>
    </row>
    <row r="14" spans="1:22" x14ac:dyDescent="0.25">
      <c r="A14" t="s">
        <v>197</v>
      </c>
      <c r="B14">
        <v>8</v>
      </c>
      <c r="C14">
        <f>2+IFERROR(VLOOKUP(Dwellers[[#This Row],[Outfit]],Outfits[#All],2,FALSE),0)</f>
        <v>2</v>
      </c>
      <c r="D14">
        <f>4+IFERROR(VLOOKUP(Dwellers[[#This Row],[Outfit]],Outfits[#All],3,FALSE),0)</f>
        <v>4</v>
      </c>
      <c r="E14" s="3">
        <f>3+IFERROR(VLOOKUP(Dwellers[[#This Row],[Outfit]],Outfits[#All],4,FALSE),0)</f>
        <v>3</v>
      </c>
      <c r="F14" s="3">
        <f>3+IFERROR(VLOOKUP(Dwellers[[#This Row],[Outfit]],Outfits[#All],5,FALSE),0)</f>
        <v>3</v>
      </c>
      <c r="G14">
        <f>2+IFERROR(VLOOKUP(Dwellers[[#This Row],[Outfit]],Outfits[#All],6,FALSE),0)</f>
        <v>2</v>
      </c>
      <c r="H14">
        <f>2+IFERROR(VLOOKUP(Dwellers[[#This Row],[Outfit]],Outfits[#All],7,FALSE),0)</f>
        <v>2</v>
      </c>
      <c r="I14">
        <f>3+IFERROR(VLOOKUP(Dwellers[[#This Row],[Outfit]],Outfits[#All],8,FALSE),0)</f>
        <v>8</v>
      </c>
      <c r="J14" t="s">
        <v>141</v>
      </c>
      <c r="K14" t="s">
        <v>194</v>
      </c>
      <c r="L14" t="s">
        <v>52</v>
      </c>
      <c r="N14" t="s">
        <v>166</v>
      </c>
      <c r="O14" t="s">
        <v>172</v>
      </c>
      <c r="P14" t="s">
        <v>149</v>
      </c>
      <c r="Q14" s="3"/>
      <c r="R14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0</v>
      </c>
      <c r="S14" s="8"/>
    </row>
    <row r="15" spans="1:22" x14ac:dyDescent="0.25">
      <c r="A15" t="s">
        <v>173</v>
      </c>
      <c r="B15">
        <v>34</v>
      </c>
      <c r="C15">
        <f>2+IFERROR(VLOOKUP(Dwellers[[#This Row],[Outfit]],Outfits[#All],2,FALSE),0)</f>
        <v>2</v>
      </c>
      <c r="D15">
        <f>1+IFERROR(VLOOKUP(Dwellers[[#This Row],[Outfit]],Outfits[#All],3,FALSE),0)</f>
        <v>1</v>
      </c>
      <c r="E15" s="3">
        <f>1+IFERROR(VLOOKUP(Dwellers[[#This Row],[Outfit]],Outfits[#All],4,FALSE),0)</f>
        <v>1</v>
      </c>
      <c r="F15" s="3">
        <f>2+IFERROR(VLOOKUP(Dwellers[[#This Row],[Outfit]],Outfits[#All],5,FALSE),0)</f>
        <v>2</v>
      </c>
      <c r="G15">
        <f>10+IFERROR(VLOOKUP(Dwellers[[#This Row],[Outfit]],Outfits[#All],6,FALSE),0)</f>
        <v>15</v>
      </c>
      <c r="H15">
        <f>2+IFERROR(VLOOKUP(Dwellers[[#This Row],[Outfit]],Outfits[#All],7,FALSE),0)</f>
        <v>2</v>
      </c>
      <c r="I15">
        <f>1+IFERROR(VLOOKUP(Dwellers[[#This Row],[Outfit]],Outfits[#All],8,FALSE),0)</f>
        <v>1</v>
      </c>
      <c r="J15" t="s">
        <v>143</v>
      </c>
      <c r="K15" t="s">
        <v>34</v>
      </c>
      <c r="L15" t="s">
        <v>35</v>
      </c>
      <c r="M15" t="s">
        <v>159</v>
      </c>
      <c r="P15" t="s">
        <v>158</v>
      </c>
      <c r="Q15" s="7">
        <f>AVERAGE(Dwellers[[#This Row],[S]:[L]])</f>
        <v>3.4285714285714284</v>
      </c>
      <c r="R15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15" s="8">
        <v>44342</v>
      </c>
    </row>
    <row r="16" spans="1:22" x14ac:dyDescent="0.25">
      <c r="A16" t="s">
        <v>187</v>
      </c>
      <c r="B16">
        <v>3</v>
      </c>
      <c r="C16">
        <f>2+IFERROR(VLOOKUP(Dwellers[[#This Row],[Outfit]],Outfits[#All],2,FALSE),0)</f>
        <v>2</v>
      </c>
      <c r="D16">
        <f>3+IFERROR(VLOOKUP(Dwellers[[#This Row],[Outfit]],Outfits[#All],3,FALSE),0)</f>
        <v>3</v>
      </c>
      <c r="E16" s="3">
        <f>2+IFERROR(VLOOKUP(Dwellers[[#This Row],[Outfit]],Outfits[#All],4,FALSE),0)</f>
        <v>2</v>
      </c>
      <c r="F16" s="3">
        <f>4+IFERROR(VLOOKUP(Dwellers[[#This Row],[Outfit]],Outfits[#All],5,FALSE),0)</f>
        <v>4</v>
      </c>
      <c r="G16">
        <f>3+IFERROR(VLOOKUP(Dwellers[[#This Row],[Outfit]],Outfits[#All],6,FALSE),0)</f>
        <v>7</v>
      </c>
      <c r="H16">
        <f>2+IFERROR(VLOOKUP(Dwellers[[#This Row],[Outfit]],Outfits[#All],7,FALSE),0)</f>
        <v>2</v>
      </c>
      <c r="I16">
        <f>3+IFERROR(VLOOKUP(Dwellers[[#This Row],[Outfit]],Outfits[#All],8,FALSE),0)</f>
        <v>4</v>
      </c>
      <c r="J16" t="s">
        <v>33</v>
      </c>
      <c r="K16" t="s">
        <v>184</v>
      </c>
      <c r="L16" t="s">
        <v>188</v>
      </c>
      <c r="N16" t="s">
        <v>147</v>
      </c>
      <c r="O16" t="s">
        <v>148</v>
      </c>
      <c r="P16" t="s">
        <v>149</v>
      </c>
      <c r="Q16" s="3"/>
      <c r="R16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16" s="8"/>
    </row>
    <row r="17" spans="1:19" x14ac:dyDescent="0.25">
      <c r="A17" t="s">
        <v>176</v>
      </c>
      <c r="B17">
        <v>33</v>
      </c>
      <c r="C17">
        <f>1+IFERROR(VLOOKUP(Dwellers[[#This Row],[Outfit]],Outfits[#All],2,FALSE),0)</f>
        <v>1</v>
      </c>
      <c r="D17">
        <f>1+IFERROR(VLOOKUP(Dwellers[[#This Row],[Outfit]],Outfits[#All],3,FALSE),0)</f>
        <v>1</v>
      </c>
      <c r="E17" s="3">
        <f>2+IFERROR(VLOOKUP(Dwellers[[#This Row],[Outfit]],Outfits[#All],4,FALSE),0)</f>
        <v>2</v>
      </c>
      <c r="F17" s="3">
        <f>2+IFERROR(VLOOKUP(Dwellers[[#This Row],[Outfit]],Outfits[#All],5,FALSE),0)</f>
        <v>2</v>
      </c>
      <c r="G17">
        <f>10+IFERROR(VLOOKUP(Dwellers[[#This Row],[Outfit]],Outfits[#All],6,FALSE),0)</f>
        <v>13</v>
      </c>
      <c r="H17">
        <f>2+IFERROR(VLOOKUP(Dwellers[[#This Row],[Outfit]],Outfits[#All],7,FALSE),0)</f>
        <v>2</v>
      </c>
      <c r="I17">
        <f>1+IFERROR(VLOOKUP(Dwellers[[#This Row],[Outfit]],Outfits[#All],8,FALSE),0)</f>
        <v>1</v>
      </c>
      <c r="J17" t="s">
        <v>33</v>
      </c>
      <c r="K17" t="s">
        <v>88</v>
      </c>
      <c r="L17" t="s">
        <v>174</v>
      </c>
      <c r="M17" t="s">
        <v>152</v>
      </c>
      <c r="P17" t="s">
        <v>158</v>
      </c>
      <c r="Q17" s="7">
        <f>AVERAGE(Dwellers[[#This Row],[S]:[L]])</f>
        <v>3.1428571428571428</v>
      </c>
      <c r="R17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17" s="8">
        <v>44342</v>
      </c>
    </row>
    <row r="18" spans="1:19" x14ac:dyDescent="0.25">
      <c r="A18" t="s">
        <v>172</v>
      </c>
      <c r="B18">
        <v>29</v>
      </c>
      <c r="C18">
        <f>2+IFERROR(VLOOKUP(Dwellers[[#This Row],[Outfit]],Outfits[#All],2,FALSE),0)</f>
        <v>2</v>
      </c>
      <c r="D18">
        <f>2+IFERROR(VLOOKUP(Dwellers[[#This Row],[Outfit]],Outfits[#All],3,FALSE),0)</f>
        <v>2</v>
      </c>
      <c r="E18" s="3">
        <f>2+IFERROR(VLOOKUP(Dwellers[[#This Row],[Outfit]],Outfits[#All],4,FALSE),0)</f>
        <v>2</v>
      </c>
      <c r="F18" s="3">
        <f>3+IFERROR(VLOOKUP(Dwellers[[#This Row],[Outfit]],Outfits[#All],5,FALSE),0)</f>
        <v>3</v>
      </c>
      <c r="G18">
        <f>10+IFERROR(VLOOKUP(Dwellers[[#This Row],[Outfit]],Outfits[#All],6,FALSE),0)</f>
        <v>13</v>
      </c>
      <c r="H18">
        <f>3+IFERROR(VLOOKUP(Dwellers[[#This Row],[Outfit]],Outfits[#All],7,FALSE),0)</f>
        <v>3</v>
      </c>
      <c r="I18">
        <f>9+IFERROR(VLOOKUP(Dwellers[[#This Row],[Outfit]],Outfits[#All],8,FALSE),0)</f>
        <v>9</v>
      </c>
      <c r="J18" t="s">
        <v>33</v>
      </c>
      <c r="K18" t="s">
        <v>88</v>
      </c>
      <c r="L18" t="s">
        <v>52</v>
      </c>
      <c r="M18" t="s">
        <v>166</v>
      </c>
      <c r="N18" t="s">
        <v>159</v>
      </c>
      <c r="O18" t="s">
        <v>173</v>
      </c>
      <c r="P18" t="s">
        <v>158</v>
      </c>
      <c r="Q18" s="7">
        <f>AVERAGE(Dwellers[[#This Row],[S]:[L]])</f>
        <v>4.8571428571428568</v>
      </c>
      <c r="R18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18" s="8">
        <v>44342</v>
      </c>
    </row>
    <row r="19" spans="1:19" x14ac:dyDescent="0.25">
      <c r="A19" t="s">
        <v>168</v>
      </c>
      <c r="B19">
        <v>1</v>
      </c>
      <c r="C19">
        <f>2+IFERROR(VLOOKUP(Dwellers[[#This Row],[Outfit]],Outfits[#All],2,FALSE),0)</f>
        <v>2</v>
      </c>
      <c r="D19">
        <f>1+IFERROR(VLOOKUP(Dwellers[[#This Row],[Outfit]],Outfits[#All],3,FALSE),0)</f>
        <v>1</v>
      </c>
      <c r="E19" s="3">
        <f>1+IFERROR(VLOOKUP(Dwellers[[#This Row],[Outfit]],Outfits[#All],4,FALSE),0)</f>
        <v>1</v>
      </c>
      <c r="F19" s="3">
        <f>2+IFERROR(VLOOKUP(Dwellers[[#This Row],[Outfit]],Outfits[#All],5,FALSE),0)</f>
        <v>2</v>
      </c>
      <c r="G19">
        <f>1+IFERROR(VLOOKUP(Dwellers[[#This Row],[Outfit]],Outfits[#All],6,FALSE),0)</f>
        <v>1</v>
      </c>
      <c r="H19">
        <f>3+IFERROR(VLOOKUP(Dwellers[[#This Row],[Outfit]],Outfits[#All],7,FALSE),0)</f>
        <v>3</v>
      </c>
      <c r="I19">
        <f>2+IFERROR(VLOOKUP(Dwellers[[#This Row],[Outfit]],Outfits[#All],8,FALSE),0)</f>
        <v>2</v>
      </c>
      <c r="J19" t="s">
        <v>104</v>
      </c>
      <c r="K19" t="s">
        <v>167</v>
      </c>
      <c r="L19" t="s">
        <v>135</v>
      </c>
      <c r="N19" t="s">
        <v>162</v>
      </c>
      <c r="O19" t="s">
        <v>163</v>
      </c>
      <c r="P19" t="s">
        <v>158</v>
      </c>
      <c r="Q19" s="7">
        <f>AVERAGE(Dwellers[[#This Row],[S]:[L]])</f>
        <v>1.7142857142857142</v>
      </c>
      <c r="R19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19" s="8">
        <v>44342</v>
      </c>
    </row>
    <row r="20" spans="1:19" x14ac:dyDescent="0.25">
      <c r="A20" t="s">
        <v>148</v>
      </c>
      <c r="B20">
        <v>12</v>
      </c>
      <c r="C20">
        <f>2+IFERROR(VLOOKUP(Dwellers[[#This Row],[Outfit]],Outfits[#All],2,FALSE),0)</f>
        <v>2</v>
      </c>
      <c r="D20">
        <f>2+IFERROR(VLOOKUP(Dwellers[[#This Row],[Outfit]],Outfits[#All],3,FALSE),0)</f>
        <v>2</v>
      </c>
      <c r="E20" s="3">
        <f>2+IFERROR(VLOOKUP(Dwellers[[#This Row],[Outfit]],Outfits[#All],4,FALSE),0)</f>
        <v>2</v>
      </c>
      <c r="F20" s="3">
        <f>10+IFERROR(VLOOKUP(Dwellers[[#This Row],[Outfit]],Outfits[#All],5,FALSE),0)</f>
        <v>15</v>
      </c>
      <c r="G20">
        <f>1+IFERROR(VLOOKUP(Dwellers[[#This Row],[Outfit]],Outfits[#All],6,FALSE),0)</f>
        <v>1</v>
      </c>
      <c r="H20">
        <f>2+IFERROR(VLOOKUP(Dwellers[[#This Row],[Outfit]],Outfits[#All],7,FALSE),0)</f>
        <v>2</v>
      </c>
      <c r="I20">
        <f>1+IFERROR(VLOOKUP(Dwellers[[#This Row],[Outfit]],Outfits[#All],8,FALSE),0)</f>
        <v>1</v>
      </c>
      <c r="J20" t="s">
        <v>104</v>
      </c>
      <c r="K20" t="s">
        <v>79</v>
      </c>
      <c r="L20" t="s">
        <v>37</v>
      </c>
      <c r="M20" t="s">
        <v>147</v>
      </c>
      <c r="P20" t="s">
        <v>158</v>
      </c>
      <c r="Q20" s="7">
        <f>AVERAGE(Dwellers[[#This Row],[S]:[L]])</f>
        <v>3.5714285714285716</v>
      </c>
      <c r="R20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0</v>
      </c>
      <c r="S20" s="8">
        <v>44342</v>
      </c>
    </row>
    <row r="21" spans="1:19" x14ac:dyDescent="0.25">
      <c r="A21" t="s">
        <v>163</v>
      </c>
      <c r="B21">
        <v>32</v>
      </c>
      <c r="C21">
        <f>2+IFERROR(VLOOKUP(Dwellers[[#This Row],[Outfit]],Outfits[#All],2,FALSE),0)</f>
        <v>2</v>
      </c>
      <c r="D21">
        <f>1+IFERROR(VLOOKUP(Dwellers[[#This Row],[Outfit]],Outfits[#All],3,FALSE),0)</f>
        <v>1</v>
      </c>
      <c r="E21" s="3">
        <f>2+IFERROR(VLOOKUP(Dwellers[[#This Row],[Outfit]],Outfits[#All],4,FALSE),0)</f>
        <v>2</v>
      </c>
      <c r="F21" s="3">
        <f>3+IFERROR(VLOOKUP(Dwellers[[#This Row],[Outfit]],Outfits[#All],5,FALSE),0)</f>
        <v>3</v>
      </c>
      <c r="G21">
        <f>1+IFERROR(VLOOKUP(Dwellers[[#This Row],[Outfit]],Outfits[#All],6,FALSE),0)</f>
        <v>1</v>
      </c>
      <c r="H21">
        <f>7+IFERROR(VLOOKUP(Dwellers[[#This Row],[Outfit]],Outfits[#All],7,FALSE),0)</f>
        <v>11</v>
      </c>
      <c r="I21">
        <f>1+IFERROR(VLOOKUP(Dwellers[[#This Row],[Outfit]],Outfits[#All],8,FALSE),0)</f>
        <v>1</v>
      </c>
      <c r="J21" t="s">
        <v>104</v>
      </c>
      <c r="K21" t="s">
        <v>108</v>
      </c>
      <c r="L21" t="s">
        <v>80</v>
      </c>
      <c r="M21" t="s">
        <v>162</v>
      </c>
      <c r="P21" t="s">
        <v>158</v>
      </c>
      <c r="Q21" s="7">
        <f>AVERAGE(Dwellers[[#This Row],[S]:[L]])</f>
        <v>3</v>
      </c>
      <c r="R21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21" s="8">
        <v>44342</v>
      </c>
    </row>
    <row r="22" spans="1:19" x14ac:dyDescent="0.25">
      <c r="E22" s="3"/>
      <c r="F22" s="3"/>
      <c r="Q22" s="3"/>
      <c r="R22" s="3"/>
      <c r="S22" s="3"/>
    </row>
    <row r="23" spans="1:19" x14ac:dyDescent="0.25">
      <c r="E23" s="3"/>
      <c r="F23" s="3"/>
      <c r="Q23" s="3"/>
      <c r="R23" s="3"/>
      <c r="S23" s="3"/>
    </row>
    <row r="24" spans="1:19" x14ac:dyDescent="0.25">
      <c r="E24" s="3"/>
      <c r="F24" s="3"/>
      <c r="Q24" s="3"/>
      <c r="R24" s="3"/>
      <c r="S24" s="3"/>
    </row>
    <row r="25" spans="1:19" x14ac:dyDescent="0.25">
      <c r="E25" s="3"/>
      <c r="F25" s="3"/>
      <c r="Q25" s="3"/>
      <c r="R25" s="3"/>
      <c r="S25" s="3"/>
    </row>
    <row r="26" spans="1:19" x14ac:dyDescent="0.25">
      <c r="E26" s="3"/>
      <c r="F26" s="3"/>
      <c r="Q26" s="3"/>
      <c r="R26" s="3"/>
      <c r="S26" s="3"/>
    </row>
    <row r="27" spans="1:19" x14ac:dyDescent="0.25">
      <c r="E27" s="3"/>
      <c r="F27" s="3"/>
      <c r="Q27" s="3"/>
      <c r="R27" s="3"/>
      <c r="S27" s="3"/>
    </row>
    <row r="28" spans="1:19" x14ac:dyDescent="0.25">
      <c r="E28" s="3"/>
      <c r="F28" s="3"/>
      <c r="Q28" s="3"/>
      <c r="R28" s="3"/>
      <c r="S28" s="3"/>
    </row>
    <row r="29" spans="1:19" x14ac:dyDescent="0.25">
      <c r="E29" s="3"/>
      <c r="F29" s="3"/>
      <c r="Q29" s="3"/>
      <c r="R29" s="3"/>
      <c r="S29" s="3"/>
    </row>
    <row r="30" spans="1:19" x14ac:dyDescent="0.25">
      <c r="E30" s="3"/>
      <c r="F30" s="3"/>
      <c r="Q30" s="3"/>
      <c r="R30" s="3"/>
      <c r="S30" s="3"/>
    </row>
    <row r="31" spans="1:19" x14ac:dyDescent="0.25">
      <c r="E31" s="3"/>
      <c r="F31" s="3"/>
      <c r="S31" s="3"/>
    </row>
    <row r="32" spans="1:19" x14ac:dyDescent="0.25">
      <c r="E32" s="3"/>
      <c r="F32" s="3"/>
      <c r="Q32" s="3"/>
      <c r="R32" s="3"/>
      <c r="S32" s="3"/>
    </row>
    <row r="33" spans="5:19" x14ac:dyDescent="0.25">
      <c r="E33" s="3"/>
      <c r="F33" s="3"/>
      <c r="Q33" s="3"/>
      <c r="R33" s="3"/>
      <c r="S33" s="3"/>
    </row>
    <row r="34" spans="5:19" x14ac:dyDescent="0.25">
      <c r="E34" s="3"/>
      <c r="F34" s="3"/>
      <c r="Q34" s="3"/>
      <c r="R34" s="3"/>
      <c r="S34" s="3"/>
    </row>
    <row r="35" spans="5:19" x14ac:dyDescent="0.25">
      <c r="E35" s="3"/>
      <c r="F35" s="3"/>
      <c r="Q35" s="3"/>
      <c r="R35" s="3"/>
      <c r="S35" s="3"/>
    </row>
    <row r="36" spans="5:19" x14ac:dyDescent="0.25">
      <c r="E36" s="3"/>
      <c r="F36" s="3"/>
      <c r="S36" s="3"/>
    </row>
    <row r="37" spans="5:19" x14ac:dyDescent="0.25">
      <c r="E37" s="3"/>
      <c r="F37" s="3"/>
      <c r="Q37" s="3"/>
      <c r="R37" s="3"/>
      <c r="S37" s="3"/>
    </row>
    <row r="38" spans="5:19" x14ac:dyDescent="0.25">
      <c r="E38" s="3"/>
      <c r="F38" s="3"/>
      <c r="Q38" s="3"/>
      <c r="R38" s="3"/>
      <c r="S38" s="3"/>
    </row>
    <row r="39" spans="5:19" x14ac:dyDescent="0.25">
      <c r="E39" s="3"/>
      <c r="F39" s="3"/>
      <c r="Q39" s="3"/>
      <c r="R39" s="3"/>
      <c r="S39" s="3"/>
    </row>
    <row r="40" spans="5:19" x14ac:dyDescent="0.25">
      <c r="E40" s="3"/>
      <c r="F40" s="3"/>
      <c r="Q40" s="3"/>
      <c r="R40" s="3"/>
      <c r="S40" s="3"/>
    </row>
    <row r="41" spans="5:19" x14ac:dyDescent="0.25">
      <c r="E41" s="3"/>
      <c r="F41" s="3"/>
      <c r="Q41" s="3"/>
      <c r="R41" s="3"/>
      <c r="S41" s="3"/>
    </row>
    <row r="42" spans="5:19" x14ac:dyDescent="0.25">
      <c r="E42" s="3"/>
      <c r="F42" s="3"/>
      <c r="Q42" s="3"/>
      <c r="R42" s="3"/>
      <c r="S42" s="3"/>
    </row>
    <row r="43" spans="5:19" x14ac:dyDescent="0.25">
      <c r="E43" s="3"/>
      <c r="F43" s="3"/>
      <c r="Q43" s="3"/>
      <c r="R43" s="3"/>
      <c r="S43" s="3"/>
    </row>
    <row r="44" spans="5:19" x14ac:dyDescent="0.25">
      <c r="E44" s="3"/>
      <c r="F44" s="3"/>
      <c r="Q44" s="3"/>
      <c r="R44" s="3"/>
      <c r="S44" s="3"/>
    </row>
    <row r="45" spans="5:19" x14ac:dyDescent="0.25">
      <c r="E45" s="3"/>
      <c r="F45" s="3"/>
      <c r="S45" s="3"/>
    </row>
    <row r="46" spans="5:19" x14ac:dyDescent="0.25">
      <c r="E46" s="3"/>
      <c r="F46" s="3"/>
      <c r="S46" s="3"/>
    </row>
    <row r="47" spans="5:19" x14ac:dyDescent="0.25">
      <c r="E47" s="3"/>
      <c r="F47" s="3"/>
      <c r="Q47" s="3"/>
      <c r="R47" s="3"/>
      <c r="S47" s="3"/>
    </row>
    <row r="48" spans="5:19" x14ac:dyDescent="0.25">
      <c r="E48" s="3"/>
      <c r="F48" s="3"/>
      <c r="Q48" s="3"/>
      <c r="R48" s="3"/>
      <c r="S48" s="3"/>
    </row>
    <row r="49" spans="5:19" x14ac:dyDescent="0.25">
      <c r="E49" s="3"/>
      <c r="F49" s="3"/>
      <c r="Q49" s="3"/>
      <c r="R49" s="3"/>
      <c r="S49" s="3"/>
    </row>
    <row r="50" spans="5:19" x14ac:dyDescent="0.25">
      <c r="E50" s="3"/>
      <c r="F50" s="3"/>
      <c r="Q50" s="3"/>
      <c r="R50" s="3"/>
      <c r="S50" s="3"/>
    </row>
    <row r="51" spans="5:19" x14ac:dyDescent="0.25">
      <c r="E51" s="3"/>
      <c r="F51" s="3"/>
      <c r="Q51" s="3"/>
      <c r="R51" s="3"/>
      <c r="S51" s="3"/>
    </row>
    <row r="52" spans="5:19" x14ac:dyDescent="0.25">
      <c r="E52" s="3"/>
      <c r="F52" s="3"/>
      <c r="Q52" s="3"/>
      <c r="R52" s="3"/>
      <c r="S52" s="3"/>
    </row>
    <row r="53" spans="5:19" x14ac:dyDescent="0.25">
      <c r="E53" s="3"/>
      <c r="F53" s="3"/>
      <c r="Q53" s="3"/>
      <c r="R53" s="3"/>
      <c r="S53" s="3"/>
    </row>
  </sheetData>
  <conditionalFormatting sqref="L1:L196">
    <cfRule type="cellIs" dxfId="10" priority="8" operator="equal">
      <formula>"Fist"</formula>
    </cfRule>
  </conditionalFormatting>
  <conditionalFormatting sqref="J2:J21">
    <cfRule type="expression" dxfId="9" priority="1">
      <formula>$R2=FALSE</formula>
    </cfRule>
    <cfRule type="expression" dxfId="8" priority="2">
      <formula>$R2=TRUE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4546E69-B4BE-4C10-9B11-EFA0A89A1B73}">
          <x14:formula1>
            <xm:f>Builds!$A$2:$A$100</xm:f>
          </x14:formula1>
          <xm:sqref>J2:J21</xm:sqref>
        </x14:dataValidation>
        <x14:dataValidation type="list" allowBlank="1" showInputMessage="1" showErrorMessage="1" promptTitle="Selecione a roupa" xr:uid="{09FDD820-9B64-480B-9C05-0BAA81592E9D}">
          <x14:formula1>
            <xm:f>Outfit!$A$2:$A$97</xm:f>
          </x14:formula1>
          <xm:sqref>K2:K21</xm:sqref>
        </x14:dataValidation>
        <x14:dataValidation type="list" allowBlank="1" showInputMessage="1" showErrorMessage="1" xr:uid="{084A5353-F76E-48D6-89F3-FFBD1D9B9FFF}">
          <x14:formula1>
            <xm:f>Weapons!$A$2:$A$99</xm:f>
          </x14:formula1>
          <xm:sqref>L2:L21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16C80-6950-4C89-90A0-1628E8C28E4F}">
  <sheetPr codeName="Planilha5"/>
  <dimension ref="A1:I43"/>
  <sheetViews>
    <sheetView workbookViewId="0">
      <selection activeCell="A2" sqref="A2:I43"/>
    </sheetView>
  </sheetViews>
  <sheetFormatPr defaultRowHeight="15" x14ac:dyDescent="0.25"/>
  <cols>
    <col min="1" max="1" width="25.85546875" customWidth="1"/>
    <col min="2" max="2" width="4.140625" customWidth="1"/>
    <col min="3" max="3" width="4.28515625" customWidth="1"/>
    <col min="4" max="4" width="4.140625" customWidth="1"/>
    <col min="5" max="5" width="4.28515625" customWidth="1"/>
    <col min="6" max="6" width="3.7109375" customWidth="1"/>
    <col min="7" max="7" width="4.42578125" customWidth="1"/>
    <col min="8" max="8" width="4" customWidth="1"/>
  </cols>
  <sheetData>
    <row r="1" spans="1:9" x14ac:dyDescent="0.25">
      <c r="A1" t="s">
        <v>12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0</v>
      </c>
    </row>
    <row r="2" spans="1:9" x14ac:dyDescent="0.25">
      <c r="A2" t="s">
        <v>111</v>
      </c>
      <c r="C2">
        <v>4</v>
      </c>
      <c r="I2" s="3" t="str">
        <f>IFERROR(INDEX(Dwellers[[Dweller]:[Outfit]],MATCH(Outfits[[#This Row],[Outfit]],Dwellers[Outfit],0),1),"")</f>
        <v/>
      </c>
    </row>
    <row r="3" spans="1:9" x14ac:dyDescent="0.25">
      <c r="A3" t="s">
        <v>144</v>
      </c>
      <c r="G3">
        <v>5</v>
      </c>
      <c r="I3" s="3" t="str">
        <f>IFERROR(INDEX(Dwellers[[Dweller]:[Outfit]],MATCH(Outfits[[#This Row],[Outfit]],Dwellers[Outfit],0),1),"")</f>
        <v>~Sd.Garry Longfellow</v>
      </c>
    </row>
    <row r="4" spans="1:9" x14ac:dyDescent="0.25">
      <c r="A4" t="s">
        <v>34</v>
      </c>
      <c r="B4">
        <v>0</v>
      </c>
      <c r="C4">
        <v>0</v>
      </c>
      <c r="D4">
        <v>0</v>
      </c>
      <c r="E4">
        <v>0</v>
      </c>
      <c r="F4">
        <v>5</v>
      </c>
      <c r="G4">
        <v>0</v>
      </c>
      <c r="H4">
        <v>0</v>
      </c>
      <c r="I4" t="str">
        <f>IFERROR(INDEX(Dwellers[[Dweller]:[Outfit]],MATCH(Outfits[[#This Row],[Outfit]],Dwellers[Outfit],0),1),"")</f>
        <v>Dr. Julia C. Walker</v>
      </c>
    </row>
    <row r="5" spans="1:9" x14ac:dyDescent="0.25">
      <c r="A5" t="s">
        <v>40</v>
      </c>
      <c r="C5">
        <v>3</v>
      </c>
      <c r="I5" t="str">
        <f>IFERROR(INDEX(Dwellers[[Dweller]:[Outfit]],MATCH(Outfits[[#This Row],[Outfit]],Dwellers[Outfit],0),1),"")</f>
        <v/>
      </c>
    </row>
    <row r="6" spans="1:9" x14ac:dyDescent="0.25">
      <c r="A6" t="s">
        <v>91</v>
      </c>
      <c r="B6">
        <v>2</v>
      </c>
      <c r="D6">
        <v>1</v>
      </c>
      <c r="I6" s="3" t="str">
        <f>IFERROR(INDEX(Dwellers[[Dweller]:[Outfit]],MATCH(Outfits[[#This Row],[Outfit]],Dwellers[Outfit],0),1),"")</f>
        <v/>
      </c>
    </row>
    <row r="7" spans="1:9" x14ac:dyDescent="0.25">
      <c r="A7" t="s">
        <v>81</v>
      </c>
      <c r="E7">
        <v>4</v>
      </c>
      <c r="H7">
        <v>1</v>
      </c>
      <c r="I7" s="3" t="str">
        <f>IFERROR(INDEX(Dwellers[[Dweller]:[Outfit]],MATCH(Outfits[[#This Row],[Outfit]],Dwellers[Outfit],0),1),"")</f>
        <v/>
      </c>
    </row>
    <row r="8" spans="1:9" x14ac:dyDescent="0.25">
      <c r="A8" t="s">
        <v>92</v>
      </c>
      <c r="B8">
        <v>2</v>
      </c>
      <c r="G8">
        <v>1</v>
      </c>
      <c r="I8" s="3" t="str">
        <f>IFERROR(INDEX(Dwellers[[Dweller]:[Outfit]],MATCH(Outfits[[#This Row],[Outfit]],Dwellers[Outfit],0),1),"")</f>
        <v/>
      </c>
    </row>
    <row r="9" spans="1:9" x14ac:dyDescent="0.25">
      <c r="A9" t="s">
        <v>51</v>
      </c>
      <c r="E9">
        <v>3</v>
      </c>
      <c r="F9">
        <v>4</v>
      </c>
      <c r="I9" t="str">
        <f>IFERROR(INDEX(Dwellers[[Dweller]:[Outfit]],MATCH(Outfits[[#This Row],[Outfit]],Dwellers[Outfit],0),1),"")</f>
        <v/>
      </c>
    </row>
    <row r="10" spans="1:9" x14ac:dyDescent="0.25">
      <c r="A10" t="s">
        <v>117</v>
      </c>
      <c r="B10">
        <v>4</v>
      </c>
      <c r="I10" s="3" t="str">
        <f>IFERROR(INDEX(Dwellers[[Dweller]:[Outfit]],MATCH(Outfits[[#This Row],[Outfit]],Dwellers[Outfit],0),1),"")</f>
        <v/>
      </c>
    </row>
    <row r="11" spans="1:9" x14ac:dyDescent="0.25">
      <c r="A11" t="s">
        <v>49</v>
      </c>
      <c r="D11">
        <v>2</v>
      </c>
      <c r="F11">
        <v>2</v>
      </c>
      <c r="H11">
        <v>1</v>
      </c>
      <c r="I11" t="str">
        <f>IFERROR(INDEX(Dwellers[[Dweller]:[Outfit]],MATCH(Outfits[[#This Row],[Outfit]],Dwellers[Outfit],0),1),"")</f>
        <v/>
      </c>
    </row>
    <row r="12" spans="1:9" x14ac:dyDescent="0.25">
      <c r="A12" t="s">
        <v>194</v>
      </c>
      <c r="H12">
        <v>5</v>
      </c>
      <c r="I12" s="3" t="str">
        <f>IFERROR(INDEX(Dwellers[[Dweller]:[Outfit]],MATCH(Outfits[[#This Row],[Outfit]],Dwellers[Outfit],0),1),"")</f>
        <v>Donald W. Payne</v>
      </c>
    </row>
    <row r="13" spans="1:9" x14ac:dyDescent="0.25">
      <c r="A13" t="s">
        <v>134</v>
      </c>
      <c r="H13">
        <v>3</v>
      </c>
      <c r="I13" s="3" t="str">
        <f>IFERROR(INDEX(Dwellers[[Dweller]:[Outfit]],MATCH(Outfits[[#This Row],[Outfit]],Dwellers[Outfit],0),1),"")</f>
        <v>~Sd. Walker</v>
      </c>
    </row>
    <row r="14" spans="1:9" x14ac:dyDescent="0.25">
      <c r="A14" t="s">
        <v>107</v>
      </c>
      <c r="G14">
        <v>3</v>
      </c>
      <c r="I14" s="3" t="str">
        <f>IFERROR(INDEX(Dwellers[[Dweller]:[Outfit]],MATCH(Outfits[[#This Row],[Outfit]],Dwellers[Outfit],0),1),"")</f>
        <v/>
      </c>
    </row>
    <row r="15" spans="1:9" x14ac:dyDescent="0.25">
      <c r="A15" t="s">
        <v>112</v>
      </c>
      <c r="C15">
        <v>7</v>
      </c>
      <c r="I15" s="3" t="str">
        <f>IFERROR(INDEX(Dwellers[[Dweller]:[Outfit]],MATCH(Outfits[[#This Row],[Outfit]],Dwellers[Outfit],0),1),"")</f>
        <v/>
      </c>
    </row>
    <row r="16" spans="1:9" x14ac:dyDescent="0.25">
      <c r="A16" t="s">
        <v>89</v>
      </c>
      <c r="D16">
        <v>4</v>
      </c>
      <c r="H16">
        <v>1</v>
      </c>
      <c r="I16" s="3" t="str">
        <f>IFERROR(INDEX(Dwellers[[Dweller]:[Outfit]],MATCH(Outfits[[#This Row],[Outfit]],Dwellers[Outfit],0),1),"")</f>
        <v>~Sd. Wes Englund</v>
      </c>
    </row>
    <row r="17" spans="1:9" x14ac:dyDescent="0.25">
      <c r="A17" t="s">
        <v>106</v>
      </c>
      <c r="E17">
        <v>2</v>
      </c>
      <c r="G17">
        <v>1</v>
      </c>
      <c r="I17" s="3" t="str">
        <f>IFERROR(INDEX(Dwellers[[Dweller]:[Outfit]],MATCH(Outfits[[#This Row],[Outfit]],Dwellers[Outfit],0),1),"")</f>
        <v/>
      </c>
    </row>
    <row r="18" spans="1:9" x14ac:dyDescent="0.25">
      <c r="A18" t="s">
        <v>83</v>
      </c>
      <c r="B18">
        <v>2</v>
      </c>
      <c r="C18">
        <v>2</v>
      </c>
      <c r="H18">
        <v>1</v>
      </c>
      <c r="I18" s="3" t="str">
        <f>IFERROR(INDEX(Dwellers[[Dweller]:[Outfit]],MATCH(Outfits[[#This Row],[Outfit]],Dwellers[Outfit],0),1),"")</f>
        <v>~Sd. Payne</v>
      </c>
    </row>
    <row r="19" spans="1:9" x14ac:dyDescent="0.25">
      <c r="A19" t="s">
        <v>88</v>
      </c>
      <c r="F19">
        <v>3</v>
      </c>
      <c r="I19" s="3" t="str">
        <f>IFERROR(INDEX(Dwellers[[Dweller]:[Outfit]],MATCH(Outfits[[#This Row],[Outfit]],Dwellers[Outfit],0),1),"")</f>
        <v>Joan T. Englund</v>
      </c>
    </row>
    <row r="20" spans="1:9" x14ac:dyDescent="0.25">
      <c r="A20" t="s">
        <v>102</v>
      </c>
      <c r="I20" s="3" t="str">
        <f>IFERROR(INDEX(Dwellers[[Dweller]:[Outfit]],MATCH(Outfits[[#This Row],[Outfit]],Dwellers[Outfit],0),1),"")</f>
        <v/>
      </c>
    </row>
    <row r="21" spans="1:9" x14ac:dyDescent="0.25">
      <c r="A21" t="s">
        <v>113</v>
      </c>
      <c r="C21">
        <v>2</v>
      </c>
      <c r="E21">
        <v>2</v>
      </c>
      <c r="H21">
        <v>1</v>
      </c>
      <c r="I21" s="3" t="str">
        <f>IFERROR(INDEX(Dwellers[[Dweller]:[Outfit]],MATCH(Outfits[[#This Row],[Outfit]],Dwellers[Outfit],0),1),"")</f>
        <v/>
      </c>
    </row>
    <row r="22" spans="1:9" x14ac:dyDescent="0.25">
      <c r="A22" t="s">
        <v>29</v>
      </c>
      <c r="B22">
        <v>0</v>
      </c>
      <c r="C22">
        <v>1</v>
      </c>
      <c r="D22">
        <v>0</v>
      </c>
      <c r="E22">
        <v>0</v>
      </c>
      <c r="F22">
        <v>0</v>
      </c>
      <c r="G22">
        <v>1</v>
      </c>
      <c r="H22">
        <v>1</v>
      </c>
      <c r="I22" t="str">
        <f>IFERROR(INDEX(Dwellers[[Dweller]:[Outfit]],MATCH(Outfits[[#This Row],[Outfit]],Dwellers[Outfit],0),1),"")</f>
        <v/>
      </c>
    </row>
    <row r="23" spans="1:9" x14ac:dyDescent="0.25">
      <c r="A23" t="s">
        <v>95</v>
      </c>
      <c r="B23">
        <v>3</v>
      </c>
      <c r="I23" s="3" t="str">
        <f>IFERROR(INDEX(Dwellers[[Dweller]:[Outfit]],MATCH(Outfits[[#This Row],[Outfit]],Dwellers[Outfit],0),1),"")</f>
        <v/>
      </c>
    </row>
    <row r="24" spans="1:9" x14ac:dyDescent="0.25">
      <c r="A24" t="s">
        <v>79</v>
      </c>
      <c r="E24">
        <v>5</v>
      </c>
      <c r="I24" s="3" t="str">
        <f>IFERROR(INDEX(Dwellers[[Dweller]:[Outfit]],MATCH(Outfits[[#This Row],[Outfit]],Dwellers[Outfit],0),1),"")</f>
        <v>Ms. J. Y. Longfellow</v>
      </c>
    </row>
    <row r="25" spans="1:9" x14ac:dyDescent="0.25">
      <c r="A25" t="s">
        <v>55</v>
      </c>
      <c r="E25">
        <v>3</v>
      </c>
      <c r="I25" t="str">
        <f>IFERROR(INDEX(Dwellers[[Dweller]:[Outfit]],MATCH(Outfits[[#This Row],[Outfit]],Dwellers[Outfit],0),1),"")</f>
        <v/>
      </c>
    </row>
    <row r="26" spans="1:9" x14ac:dyDescent="0.25">
      <c r="A26" t="s">
        <v>36</v>
      </c>
      <c r="B26">
        <v>0</v>
      </c>
      <c r="C26">
        <v>0</v>
      </c>
      <c r="D26">
        <v>0</v>
      </c>
      <c r="E26">
        <v>2</v>
      </c>
      <c r="F26">
        <v>3</v>
      </c>
      <c r="I26" t="str">
        <f>IFERROR(INDEX(Dwellers[[Dweller]:[Outfit]],MATCH(Outfits[[#This Row],[Outfit]],Dwellers[Outfit],0),1),"")</f>
        <v/>
      </c>
    </row>
    <row r="27" spans="1:9" x14ac:dyDescent="0.25">
      <c r="A27" t="s">
        <v>184</v>
      </c>
      <c r="F27">
        <v>4</v>
      </c>
      <c r="H27">
        <v>1</v>
      </c>
      <c r="I27" s="3" t="str">
        <f>IFERROR(INDEX(Dwellers[[Dweller]:[Outfit]],MATCH(Outfits[[#This Row],[Outfit]],Dwellers[Outfit],0),1),"")</f>
        <v>Gerald Longfellow</v>
      </c>
    </row>
    <row r="28" spans="1:9" x14ac:dyDescent="0.25">
      <c r="A28" t="s">
        <v>114</v>
      </c>
      <c r="C28">
        <v>1</v>
      </c>
      <c r="D28">
        <v>2</v>
      </c>
      <c r="I28" s="3" t="str">
        <f>IFERROR(INDEX(Dwellers[[Dweller]:[Outfit]],MATCH(Outfits[[#This Row],[Outfit]],Dwellers[Outfit],0),1),"")</f>
        <v/>
      </c>
    </row>
    <row r="29" spans="1:9" x14ac:dyDescent="0.25">
      <c r="A29" t="s">
        <v>99</v>
      </c>
      <c r="F29">
        <v>2</v>
      </c>
      <c r="G29">
        <v>2</v>
      </c>
      <c r="H29">
        <v>1</v>
      </c>
      <c r="I29" s="3" t="str">
        <f>IFERROR(INDEX(Dwellers[[Dweller]:[Outfit]],MATCH(Outfits[[#This Row],[Outfit]],Dwellers[Outfit],0),1),"")</f>
        <v/>
      </c>
    </row>
    <row r="30" spans="1:9" x14ac:dyDescent="0.25">
      <c r="A30" t="s">
        <v>97</v>
      </c>
      <c r="B30">
        <v>3</v>
      </c>
      <c r="G30">
        <v>2</v>
      </c>
      <c r="I30" s="3" t="str">
        <f>IFERROR(INDEX(Dwellers[[Dweller]:[Outfit]],MATCH(Outfits[[#This Row],[Outfit]],Dwellers[Outfit],0),1),"")</f>
        <v/>
      </c>
    </row>
    <row r="31" spans="1:9" x14ac:dyDescent="0.25">
      <c r="A31" t="s">
        <v>136</v>
      </c>
      <c r="C31">
        <v>1</v>
      </c>
      <c r="G31">
        <v>2</v>
      </c>
      <c r="H31">
        <v>2</v>
      </c>
      <c r="I31" s="3" t="str">
        <f>IFERROR(INDEX(Dwellers[[Dweller]:[Outfit]],MATCH(Outfits[[#This Row],[Outfit]],Dwellers[Outfit],0),1),"")</f>
        <v>~Sd. Cheryl Graham</v>
      </c>
    </row>
    <row r="32" spans="1:9" x14ac:dyDescent="0.25">
      <c r="A32" t="s">
        <v>105</v>
      </c>
      <c r="C32">
        <v>2</v>
      </c>
      <c r="G32">
        <v>3</v>
      </c>
      <c r="I32" s="3" t="str">
        <f>IFERROR(INDEX(Dwellers[[Dweller]:[Outfit]],MATCH(Outfits[[#This Row],[Outfit]],Dwellers[Outfit],0),1),"")</f>
        <v/>
      </c>
    </row>
    <row r="33" spans="1:9" x14ac:dyDescent="0.25">
      <c r="A33" t="s">
        <v>131</v>
      </c>
      <c r="C33">
        <v>5</v>
      </c>
      <c r="I33" s="3" t="str">
        <f>IFERROR(INDEX(Dwellers[[Dweller]:[Outfit]],MATCH(Outfits[[#This Row],[Outfit]],Dwellers[Outfit],0),1),"")</f>
        <v/>
      </c>
    </row>
    <row r="34" spans="1:9" x14ac:dyDescent="0.25">
      <c r="A34" t="s">
        <v>122</v>
      </c>
      <c r="C34">
        <v>2</v>
      </c>
      <c r="G34">
        <v>2</v>
      </c>
      <c r="H34">
        <v>1</v>
      </c>
      <c r="I34" s="3" t="str">
        <f>IFERROR(INDEX(Dwellers[[Dweller]:[Outfit]],MATCH(Outfits[[#This Row],[Outfit]],Dwellers[Outfit],0),1),"")</f>
        <v/>
      </c>
    </row>
    <row r="35" spans="1:9" x14ac:dyDescent="0.25">
      <c r="A35" t="s">
        <v>153</v>
      </c>
      <c r="B35">
        <v>2</v>
      </c>
      <c r="G35">
        <v>2</v>
      </c>
      <c r="H35">
        <v>1</v>
      </c>
      <c r="I35" s="3" t="str">
        <f>IFERROR(INDEX(Dwellers[[Dweller]:[Outfit]],MATCH(Outfits[[#This Row],[Outfit]],Dwellers[Outfit],0),1),"")</f>
        <v>~Sd. Young</v>
      </c>
    </row>
    <row r="36" spans="1:9" x14ac:dyDescent="0.25">
      <c r="A36" t="s">
        <v>169</v>
      </c>
      <c r="B36">
        <v>2</v>
      </c>
      <c r="C36">
        <v>4</v>
      </c>
      <c r="I36" s="3" t="str">
        <f>IFERROR(INDEX(Dwellers[[Dweller]:[Outfit]],MATCH(Outfits[[#This Row],[Outfit]],Dwellers[Outfit],0),1),"")</f>
        <v>~Sd. Graham</v>
      </c>
    </row>
    <row r="37" spans="1:9" x14ac:dyDescent="0.25">
      <c r="A37" t="s">
        <v>155</v>
      </c>
      <c r="B37">
        <v>3</v>
      </c>
      <c r="C37">
        <v>1</v>
      </c>
      <c r="I37" s="3" t="str">
        <f>IFERROR(INDEX(Dwellers[[Dweller]:[Outfit]],MATCH(Outfits[[#This Row],[Outfit]],Dwellers[Outfit],0),1),"")</f>
        <v>~Sd. Jenny L. Graham</v>
      </c>
    </row>
    <row r="38" spans="1:9" x14ac:dyDescent="0.25">
      <c r="A38" t="s">
        <v>58</v>
      </c>
      <c r="B38">
        <v>2</v>
      </c>
      <c r="D38">
        <v>2</v>
      </c>
      <c r="E38">
        <v>2</v>
      </c>
      <c r="H38">
        <v>2</v>
      </c>
      <c r="I38" s="3" t="str">
        <f>IFERROR(INDEX(Dwellers[[Dweller]:[Outfit]],MATCH(Outfits[[#This Row],[Outfit]],Dwellers[Outfit],0),1),"")</f>
        <v>~Gl. Longfellow</v>
      </c>
    </row>
    <row r="39" spans="1:9" x14ac:dyDescent="0.25">
      <c r="A39" t="s">
        <v>65</v>
      </c>
      <c r="C39">
        <v>2</v>
      </c>
      <c r="E39">
        <v>2</v>
      </c>
      <c r="F39">
        <v>2</v>
      </c>
      <c r="H39">
        <v>1</v>
      </c>
      <c r="I39" s="3" t="str">
        <f>IFERROR(INDEX(Dwellers[[Dweller]:[Outfit]],MATCH(Outfits[[#This Row],[Outfit]],Dwellers[Outfit],0),1),"")</f>
        <v>~Gl. Tenpenny</v>
      </c>
    </row>
    <row r="40" spans="1:9" x14ac:dyDescent="0.25">
      <c r="A40" t="s">
        <v>167</v>
      </c>
      <c r="I40" s="3" t="str">
        <f>IFERROR(INDEX(Dwellers[[Dweller]:[Outfit]],MATCH(Outfits[[#This Row],[Outfit]],Dwellers[Outfit],0),1),"")</f>
        <v>Michelle Tenpenny</v>
      </c>
    </row>
    <row r="41" spans="1:9" x14ac:dyDescent="0.25">
      <c r="A41" t="s">
        <v>108</v>
      </c>
      <c r="G41">
        <v>4</v>
      </c>
      <c r="I41" s="3" t="str">
        <f>IFERROR(INDEX(Dwellers[[Dweller]:[Outfit]],MATCH(Outfits[[#This Row],[Outfit]],Dwellers[Outfit],0),1),"")</f>
        <v>Ms. Rose M Tenpenny</v>
      </c>
    </row>
    <row r="42" spans="1:9" x14ac:dyDescent="0.25">
      <c r="A42" t="s">
        <v>190</v>
      </c>
      <c r="C42">
        <v>3</v>
      </c>
      <c r="H42">
        <v>2</v>
      </c>
      <c r="I42" s="3" t="str">
        <f>IFERROR(INDEX(Dwellers[[Dweller]:[Outfit]],MATCH(Outfits[[#This Row],[Outfit]],Dwellers[Outfit],0),1),"")</f>
        <v>Alexander Perry</v>
      </c>
    </row>
    <row r="43" spans="1:9" x14ac:dyDescent="0.25">
      <c r="A43" t="s">
        <v>86</v>
      </c>
      <c r="C43">
        <v>2</v>
      </c>
      <c r="H43">
        <v>1</v>
      </c>
      <c r="I43" s="3" t="str">
        <f>IFERROR(INDEX(Dwellers[[Dweller]:[Outfit]],MATCH(Outfits[[#This Row],[Outfit]],Dwellers[Outfit],0),1),"")</f>
        <v/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4D636-C9C8-4A61-8C27-E88F366C7A99}">
  <sheetPr codeName="Planilha6"/>
  <dimension ref="A1:D36"/>
  <sheetViews>
    <sheetView topLeftCell="A9" workbookViewId="0">
      <selection activeCell="A2" sqref="A2:D35"/>
    </sheetView>
  </sheetViews>
  <sheetFormatPr defaultRowHeight="15" x14ac:dyDescent="0.25"/>
  <cols>
    <col min="1" max="1" width="24.5703125" customWidth="1"/>
    <col min="2" max="2" width="10.28515625" style="3" customWidth="1"/>
    <col min="3" max="3" width="11.5703125" customWidth="1"/>
  </cols>
  <sheetData>
    <row r="1" spans="1:4" x14ac:dyDescent="0.25">
      <c r="A1" t="s">
        <v>13</v>
      </c>
      <c r="B1" s="3" t="s">
        <v>14</v>
      </c>
      <c r="C1" t="s">
        <v>45</v>
      </c>
      <c r="D1" t="s">
        <v>0</v>
      </c>
    </row>
    <row r="2" spans="1:4" x14ac:dyDescent="0.25">
      <c r="A2" t="s">
        <v>191</v>
      </c>
      <c r="B2" s="3" t="s">
        <v>192</v>
      </c>
      <c r="D2" s="3" t="str">
        <f>IFERROR(INDEX(Dwellers[[Dweller]:[Outfit]],MATCH(Weapons[[#This Row],[Weapon]],Dwellers[Weapon],0),1),"")</f>
        <v/>
      </c>
    </row>
    <row r="3" spans="1:4" x14ac:dyDescent="0.25">
      <c r="A3" t="s">
        <v>185</v>
      </c>
      <c r="B3" s="3" t="s">
        <v>186</v>
      </c>
      <c r="D3" s="3" t="str">
        <f>IFERROR(INDEX(Dwellers[[Dweller]:[Outfit]],MATCH(Weapons[[#This Row],[Weapon]],Dwellers[Weapon],0),1),"")</f>
        <v>Alexander Perry</v>
      </c>
    </row>
    <row r="4" spans="1:4" x14ac:dyDescent="0.25">
      <c r="A4" t="s">
        <v>101</v>
      </c>
      <c r="D4" s="3" t="str">
        <f>IFERROR(INDEX(Dwellers[[Dweller]:[Outfit]],MATCH(Weapons[[#This Row],[Weapon]],Dwellers[Weapon],0),1),"")</f>
        <v/>
      </c>
    </row>
    <row r="5" spans="1:4" x14ac:dyDescent="0.25">
      <c r="A5" t="s">
        <v>84</v>
      </c>
      <c r="B5" s="3" t="s">
        <v>85</v>
      </c>
      <c r="D5" s="3" t="str">
        <f>IFERROR(INDEX(Dwellers[[Dweller]:[Outfit]],MATCH(Weapons[[#This Row],[Weapon]],Dwellers[Weapon],0),1),"")</f>
        <v/>
      </c>
    </row>
    <row r="6" spans="1:4" x14ac:dyDescent="0.25">
      <c r="A6" t="s">
        <v>56</v>
      </c>
      <c r="B6" s="3" t="s">
        <v>57</v>
      </c>
      <c r="D6" s="3" t="str">
        <f>IFERROR(INDEX(Dwellers[[Dweller]:[Outfit]],MATCH(Weapons[[#This Row],[Weapon]],Dwellers[Weapon],0),1),"")</f>
        <v/>
      </c>
    </row>
    <row r="7" spans="1:4" x14ac:dyDescent="0.25">
      <c r="A7" t="s">
        <v>87</v>
      </c>
      <c r="B7" s="4">
        <v>44292</v>
      </c>
      <c r="D7" s="3" t="str">
        <f>IFERROR(INDEX(Dwellers[[Dweller]:[Outfit]],MATCH(Weapons[[#This Row],[Weapon]],Dwellers[Weapon],0),1),"")</f>
        <v/>
      </c>
    </row>
    <row r="8" spans="1:4" x14ac:dyDescent="0.25">
      <c r="A8" t="s">
        <v>195</v>
      </c>
      <c r="B8" s="3" t="s">
        <v>196</v>
      </c>
      <c r="D8" s="3" t="str">
        <f>IFERROR(INDEX(Dwellers[[Dweller]:[Outfit]],MATCH(Weapons[[#This Row],[Weapon]],Dwellers[Weapon],0),1),"")</f>
        <v/>
      </c>
    </row>
    <row r="9" spans="1:4" x14ac:dyDescent="0.25">
      <c r="A9" t="s">
        <v>80</v>
      </c>
      <c r="B9" s="4">
        <v>44355</v>
      </c>
      <c r="D9" s="3" t="str">
        <f>IFERROR(INDEX(Dwellers[[Dweller]:[Outfit]],MATCH(Weapons[[#This Row],[Weapon]],Dwellers[Weapon],0),1),"")</f>
        <v>Ms. Rose M Tenpenny</v>
      </c>
    </row>
    <row r="10" spans="1:4" x14ac:dyDescent="0.25">
      <c r="A10" t="s">
        <v>52</v>
      </c>
      <c r="B10" s="4" t="s">
        <v>53</v>
      </c>
      <c r="D10" t="str">
        <f>IFERROR(INDEX(Dwellers[[Dweller]:[Outfit]],MATCH(Weapons[[#This Row],[Weapon]],Dwellers[Weapon],0),1),"")</f>
        <v>Donald W. Payne</v>
      </c>
    </row>
    <row r="11" spans="1:4" x14ac:dyDescent="0.25">
      <c r="A11" t="s">
        <v>50</v>
      </c>
      <c r="B11" s="3">
        <v>1</v>
      </c>
      <c r="D11" t="str">
        <f>IFERROR(INDEX(Dwellers[[Dweller]:[Outfit]],MATCH(Weapons[[#This Row],[Weapon]],Dwellers[Weapon],0),1),"")</f>
        <v/>
      </c>
    </row>
    <row r="12" spans="1:4" x14ac:dyDescent="0.25">
      <c r="A12" t="s">
        <v>150</v>
      </c>
      <c r="B12" s="3" t="s">
        <v>151</v>
      </c>
      <c r="D12" s="3" t="str">
        <f>IFERROR(INDEX(Dwellers[[Dweller]:[Outfit]],MATCH(Weapons[[#This Row],[Weapon]],Dwellers[Weapon],0),1),"")</f>
        <v>~Sd. Payne</v>
      </c>
    </row>
    <row r="13" spans="1:4" x14ac:dyDescent="0.25">
      <c r="A13" t="s">
        <v>59</v>
      </c>
      <c r="B13" s="3" t="s">
        <v>60</v>
      </c>
      <c r="D13" s="3" t="str">
        <f>IFERROR(INDEX(Dwellers[[Dweller]:[Outfit]],MATCH(Weapons[[#This Row],[Weapon]],Dwellers[Weapon],0),1),"")</f>
        <v>~Gl. Longfellow</v>
      </c>
    </row>
    <row r="14" spans="1:4" x14ac:dyDescent="0.25">
      <c r="A14" t="s">
        <v>145</v>
      </c>
      <c r="B14" s="3" t="s">
        <v>146</v>
      </c>
      <c r="D14" s="3" t="str">
        <f>IFERROR(INDEX(Dwellers[[Dweller]:[Outfit]],MATCH(Weapons[[#This Row],[Weapon]],Dwellers[Weapon],0),1),"")</f>
        <v>~Sd.Garry Longfellow</v>
      </c>
    </row>
    <row r="15" spans="1:4" x14ac:dyDescent="0.25">
      <c r="A15" t="s">
        <v>47</v>
      </c>
      <c r="B15" s="3" t="s">
        <v>48</v>
      </c>
      <c r="D15" t="str">
        <f>IFERROR(INDEX(Dwellers[[Dweller]:[Outfit]],MATCH(Weapons[[#This Row],[Weapon]],Dwellers[Weapon],0),1),"")</f>
        <v>~Sd. Young</v>
      </c>
    </row>
    <row r="16" spans="1:4" x14ac:dyDescent="0.25">
      <c r="A16" t="s">
        <v>118</v>
      </c>
      <c r="B16" s="3" t="s">
        <v>119</v>
      </c>
      <c r="D16" s="3" t="str">
        <f>IFERROR(INDEX(Dwellers[[Dweller]:[Outfit]],MATCH(Weapons[[#This Row],[Weapon]],Dwellers[Weapon],0),1),"")</f>
        <v/>
      </c>
    </row>
    <row r="17" spans="1:4" x14ac:dyDescent="0.25">
      <c r="A17" t="s">
        <v>30</v>
      </c>
      <c r="B17" s="3" t="s">
        <v>31</v>
      </c>
      <c r="C17" t="s">
        <v>46</v>
      </c>
      <c r="D17" t="str">
        <f>IFERROR(INDEX(Dwellers[[Dweller]:[Outfit]],MATCH(Weapons[[#This Row],[Weapon]],Dwellers[Weapon],0),1),"")</f>
        <v>~Sd. Walker</v>
      </c>
    </row>
    <row r="18" spans="1:4" x14ac:dyDescent="0.25">
      <c r="A18" t="s">
        <v>37</v>
      </c>
      <c r="B18" s="3" t="s">
        <v>38</v>
      </c>
      <c r="C18" t="s">
        <v>46</v>
      </c>
      <c r="D18" t="str">
        <f>IFERROR(INDEX(Dwellers[[Dweller]:[Outfit]],MATCH(Weapons[[#This Row],[Weapon]],Dwellers[Weapon],0),1),"")</f>
        <v>Ms. J. Y. Longfellow</v>
      </c>
    </row>
    <row r="19" spans="1:4" x14ac:dyDescent="0.25">
      <c r="A19" t="s">
        <v>164</v>
      </c>
      <c r="B19" s="3" t="s">
        <v>165</v>
      </c>
      <c r="D19" s="3" t="str">
        <f>IFERROR(INDEX(Dwellers[[Dweller]:[Outfit]],MATCH(Weapons[[#This Row],[Weapon]],Dwellers[Weapon],0),1),"")</f>
        <v>~Sd. Cheryl Graham</v>
      </c>
    </row>
    <row r="20" spans="1:4" x14ac:dyDescent="0.25">
      <c r="A20" t="s">
        <v>90</v>
      </c>
      <c r="B20" s="4">
        <v>44543</v>
      </c>
      <c r="D20" s="3" t="str">
        <f>IFERROR(INDEX(Dwellers[[Dweller]:[Outfit]],MATCH(Weapons[[#This Row],[Weapon]],Dwellers[Weapon],0),1),"")</f>
        <v/>
      </c>
    </row>
    <row r="21" spans="1:4" x14ac:dyDescent="0.25">
      <c r="A21" t="s">
        <v>115</v>
      </c>
      <c r="B21" s="3" t="s">
        <v>116</v>
      </c>
      <c r="D21" s="3" t="str">
        <f>IFERROR(INDEX(Dwellers[[Dweller]:[Outfit]],MATCH(Weapons[[#This Row],[Weapon]],Dwellers[Weapon],0),1),"")</f>
        <v/>
      </c>
    </row>
    <row r="22" spans="1:4" x14ac:dyDescent="0.25">
      <c r="A22" t="s">
        <v>93</v>
      </c>
      <c r="B22" s="3" t="s">
        <v>94</v>
      </c>
      <c r="D22" s="3" t="str">
        <f>IFERROR(INDEX(Dwellers[[Dweller]:[Outfit]],MATCH(Weapons[[#This Row],[Weapon]],Dwellers[Weapon],0),1),"")</f>
        <v/>
      </c>
    </row>
    <row r="23" spans="1:4" x14ac:dyDescent="0.25">
      <c r="A23" t="s">
        <v>132</v>
      </c>
      <c r="B23" s="3" t="s">
        <v>133</v>
      </c>
      <c r="D23" s="3" t="str">
        <f>IFERROR(INDEX(Dwellers[[Dweller]:[Outfit]],MATCH(Weapons[[#This Row],[Weapon]],Dwellers[Weapon],0),1),"")</f>
        <v>~Sd. Graham</v>
      </c>
    </row>
    <row r="24" spans="1:4" x14ac:dyDescent="0.25">
      <c r="A24" t="s">
        <v>135</v>
      </c>
    </row>
    <row r="25" spans="1:4" x14ac:dyDescent="0.25">
      <c r="A25" t="s">
        <v>82</v>
      </c>
      <c r="B25" s="3">
        <v>2</v>
      </c>
      <c r="D25" s="3" t="str">
        <f>IFERROR(INDEX(Dwellers[[Dweller]:[Outfit]],MATCH(Weapons[[#This Row],[Weapon]],Dwellers[Weapon],0),1),"")</f>
        <v/>
      </c>
    </row>
    <row r="26" spans="1:4" x14ac:dyDescent="0.25">
      <c r="A26" t="s">
        <v>66</v>
      </c>
      <c r="B26" s="3">
        <v>16</v>
      </c>
      <c r="D26" s="3" t="str">
        <f>IFERROR(INDEX(Dwellers[[Dweller]:[Outfit]],MATCH(Weapons[[#This Row],[Weapon]],Dwellers[Weapon],0),1),"")</f>
        <v>~Sd. Myers</v>
      </c>
    </row>
    <row r="27" spans="1:4" x14ac:dyDescent="0.25">
      <c r="A27" t="s">
        <v>100</v>
      </c>
      <c r="D27" s="3" t="str">
        <f>IFERROR(INDEX(Dwellers[[Dweller]:[Outfit]],MATCH(Weapons[[#This Row],[Weapon]],Dwellers[Weapon],0),1),"")</f>
        <v/>
      </c>
    </row>
    <row r="28" spans="1:4" x14ac:dyDescent="0.25">
      <c r="A28" t="s">
        <v>35</v>
      </c>
      <c r="B28" s="3">
        <v>7</v>
      </c>
      <c r="C28" t="s">
        <v>46</v>
      </c>
      <c r="D28" t="str">
        <f>IFERROR(INDEX(Dwellers[[Dweller]:[Outfit]],MATCH(Weapons[[#This Row],[Weapon]],Dwellers[Weapon],0),1),"")</f>
        <v>Dr. Julia C. Walker</v>
      </c>
    </row>
    <row r="29" spans="1:4" x14ac:dyDescent="0.25">
      <c r="A29" t="s">
        <v>161</v>
      </c>
    </row>
    <row r="30" spans="1:4" x14ac:dyDescent="0.25">
      <c r="A30" t="s">
        <v>98</v>
      </c>
      <c r="D30" s="3" t="str">
        <f>IFERROR(INDEX(Dwellers[[Dweller]:[Outfit]],MATCH(Weapons[[#This Row],[Weapon]],Dwellers[Weapon],0),1),"")</f>
        <v/>
      </c>
    </row>
    <row r="31" spans="1:4" x14ac:dyDescent="0.25">
      <c r="A31" t="s">
        <v>109</v>
      </c>
      <c r="B31" s="3" t="s">
        <v>110</v>
      </c>
      <c r="D31" s="3" t="str">
        <f>IFERROR(INDEX(Dwellers[[Dweller]:[Outfit]],MATCH(Weapons[[#This Row],[Weapon]],Dwellers[Weapon],0),1),"")</f>
        <v/>
      </c>
    </row>
    <row r="32" spans="1:4" x14ac:dyDescent="0.25">
      <c r="A32" t="s">
        <v>120</v>
      </c>
      <c r="B32" s="3" t="s">
        <v>121</v>
      </c>
      <c r="D32" s="3" t="str">
        <f>IFERROR(INDEX(Dwellers[[Dweller]:[Outfit]],MATCH(Weapons[[#This Row],[Weapon]],Dwellers[Weapon],0),1),"")</f>
        <v/>
      </c>
    </row>
    <row r="33" spans="1:4" x14ac:dyDescent="0.25">
      <c r="A33" t="s">
        <v>103</v>
      </c>
      <c r="D33" s="3" t="str">
        <f>IFERROR(INDEX(Dwellers[[Dweller]:[Outfit]],MATCH(Weapons[[#This Row],[Weapon]],Dwellers[Weapon],0),1),"")</f>
        <v/>
      </c>
    </row>
    <row r="34" spans="1:4" x14ac:dyDescent="0.25">
      <c r="A34" t="s">
        <v>96</v>
      </c>
      <c r="D34" s="3" t="str">
        <f>IFERROR(INDEX(Dwellers[[Dweller]:[Outfit]],MATCH(Weapons[[#This Row],[Weapon]],Dwellers[Weapon],0),1),"")</f>
        <v/>
      </c>
    </row>
    <row r="35" spans="1:4" x14ac:dyDescent="0.25">
      <c r="A35" t="s">
        <v>174</v>
      </c>
      <c r="B35" s="3" t="s">
        <v>175</v>
      </c>
      <c r="D35" s="3" t="str">
        <f>IFERROR(INDEX(Dwellers[[Dweller]:[Outfit]],MATCH(Weapons[[#This Row],[Weapon]],Dwellers[Weapon],0),1),"")</f>
        <v>Joan T. Englund</v>
      </c>
    </row>
    <row r="36" spans="1:4" x14ac:dyDescent="0.25">
      <c r="A36" t="s">
        <v>198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12AB4-8E07-4D6C-98AD-2C3E63219EBA}">
  <sheetPr codeName="Planilha7"/>
  <dimension ref="A1:B12"/>
  <sheetViews>
    <sheetView workbookViewId="0">
      <selection activeCell="G23" sqref="G23"/>
    </sheetView>
  </sheetViews>
  <sheetFormatPr defaultRowHeight="15" x14ac:dyDescent="0.25"/>
  <cols>
    <col min="1" max="1" width="18" customWidth="1"/>
    <col min="2" max="2" width="7.7109375" bestFit="1" customWidth="1"/>
  </cols>
  <sheetData>
    <row r="1" spans="1:2" x14ac:dyDescent="0.25">
      <c r="A1" t="s">
        <v>39</v>
      </c>
      <c r="B1" t="s">
        <v>18</v>
      </c>
    </row>
    <row r="2" spans="1:2" x14ac:dyDescent="0.25">
      <c r="A2" t="s">
        <v>42</v>
      </c>
      <c r="B2">
        <v>2</v>
      </c>
    </row>
    <row r="3" spans="1:2" x14ac:dyDescent="0.25">
      <c r="A3" t="s">
        <v>43</v>
      </c>
      <c r="B3">
        <v>1</v>
      </c>
    </row>
    <row r="4" spans="1:2" x14ac:dyDescent="0.25">
      <c r="A4" t="s">
        <v>44</v>
      </c>
      <c r="B4">
        <v>3</v>
      </c>
    </row>
    <row r="5" spans="1:2" x14ac:dyDescent="0.25">
      <c r="A5" t="s">
        <v>123</v>
      </c>
      <c r="B5">
        <v>1</v>
      </c>
    </row>
    <row r="6" spans="1:2" x14ac:dyDescent="0.25">
      <c r="A6" t="s">
        <v>124</v>
      </c>
      <c r="B6">
        <v>2</v>
      </c>
    </row>
    <row r="7" spans="1:2" x14ac:dyDescent="0.25">
      <c r="A7" t="s">
        <v>125</v>
      </c>
      <c r="B7">
        <v>1</v>
      </c>
    </row>
    <row r="8" spans="1:2" x14ac:dyDescent="0.25">
      <c r="A8" t="s">
        <v>126</v>
      </c>
      <c r="B8">
        <v>1</v>
      </c>
    </row>
    <row r="9" spans="1:2" x14ac:dyDescent="0.25">
      <c r="A9" t="s">
        <v>127</v>
      </c>
      <c r="B9">
        <v>1</v>
      </c>
    </row>
    <row r="10" spans="1:2" x14ac:dyDescent="0.25">
      <c r="A10" t="s">
        <v>128</v>
      </c>
      <c r="B10">
        <v>2</v>
      </c>
    </row>
    <row r="11" spans="1:2" x14ac:dyDescent="0.25">
      <c r="A11" t="s">
        <v>129</v>
      </c>
      <c r="B11">
        <v>3</v>
      </c>
    </row>
    <row r="12" spans="1:2" x14ac:dyDescent="0.25">
      <c r="A12" t="s">
        <v>130</v>
      </c>
      <c r="B12">
        <v>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Dashboard</vt:lpstr>
      <vt:lpstr>Database</vt:lpstr>
      <vt:lpstr>Builds</vt:lpstr>
      <vt:lpstr>Dwellers</vt:lpstr>
      <vt:lpstr>Outfit</vt:lpstr>
      <vt:lpstr>Weapons</vt:lpstr>
      <vt:lpstr>Storage</vt:lpstr>
      <vt:lpstr>Advanced_Lab_Coat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de Mendonça Cordeiro</dc:creator>
  <cp:lastModifiedBy>Rodrigo de Mendonça Cordeiro</cp:lastModifiedBy>
  <dcterms:created xsi:type="dcterms:W3CDTF">2021-05-05T18:56:33Z</dcterms:created>
  <dcterms:modified xsi:type="dcterms:W3CDTF">2021-06-14T13:45:20Z</dcterms:modified>
</cp:coreProperties>
</file>