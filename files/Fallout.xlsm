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odrigo.cordeiro\Documents\"/>
    </mc:Choice>
  </mc:AlternateContent>
  <xr:revisionPtr revIDLastSave="0" documentId="13_ncr:1_{FB60C29C-EE56-44C4-AAF9-22CCCD502B7D}" xr6:coauthVersionLast="46" xr6:coauthVersionMax="46" xr10:uidLastSave="{00000000-0000-0000-0000-000000000000}"/>
  <bookViews>
    <workbookView xWindow="-120" yWindow="-120" windowWidth="20730" windowHeight="11160" xr2:uid="{7CD57A3C-4BA8-46CD-AB42-BFE8850289DB}"/>
  </bookViews>
  <sheets>
    <sheet name="Dashboard" sheetId="6" r:id="rId1"/>
    <sheet name="Database" sheetId="4" r:id="rId2"/>
    <sheet name="Builds" sheetId="5" r:id="rId3"/>
    <sheet name="Dwellers" sheetId="1" r:id="rId4"/>
    <sheet name="Outfit" sheetId="2" r:id="rId5"/>
    <sheet name="Weapons" sheetId="3" r:id="rId6"/>
    <sheet name="Storage" sheetId="8" r:id="rId7"/>
  </sheets>
  <definedNames>
    <definedName name="_xlcn.WorksheetConnection_Fallout.xlsmDwellers1" hidden="1">Dwellers[]</definedName>
    <definedName name="_xlcn.WorksheetConnection_Fallout.xlsmOutfits1" hidden="1">Outfits[]</definedName>
    <definedName name="Advanced_Lab_Coat">Outfit!$A$2:$A$20</definedName>
  </definedNames>
  <calcPr calcId="191029"/>
  <pivotCaches>
    <pivotCache cacheId="46" r:id="rId8"/>
    <pivotCache cacheId="49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Outfits" name="Outfits" connection="WorksheetConnection_Fallout.xlsm!Outfits"/>
          <x15:modelTable id="Dwellers" name="Dwellers" connection="WorksheetConnection_Fallout.xlsm!Dwellers"/>
        </x15:modelTables>
      </x15:dataModel>
    </ext>
  </extLst>
</workbook>
</file>

<file path=xl/calcChain.xml><?xml version="1.0" encoding="utf-8"?>
<calcChain xmlns="http://schemas.openxmlformats.org/spreadsheetml/2006/main">
  <c r="E1" i="4" l="1"/>
  <c r="G1" i="4"/>
  <c r="I28" i="2"/>
  <c r="D25" i="3"/>
  <c r="D24" i="3"/>
  <c r="D21" i="3"/>
  <c r="D19" i="3"/>
  <c r="D2" i="3"/>
  <c r="I27" i="2"/>
  <c r="I25" i="2"/>
  <c r="I17" i="2"/>
  <c r="I14" i="2"/>
  <c r="I12" i="2"/>
  <c r="I31" i="1"/>
  <c r="H31" i="1"/>
  <c r="G31" i="1"/>
  <c r="F31" i="1"/>
  <c r="E31" i="1"/>
  <c r="D31" i="1"/>
  <c r="C31" i="1"/>
  <c r="D23" i="3"/>
  <c r="C19" i="5"/>
  <c r="I29" i="1"/>
  <c r="H29" i="1"/>
  <c r="G29" i="1"/>
  <c r="F29" i="1"/>
  <c r="E29" i="1"/>
  <c r="D29" i="1"/>
  <c r="C29" i="1"/>
  <c r="I9" i="1"/>
  <c r="H9" i="1"/>
  <c r="G9" i="1"/>
  <c r="F9" i="1"/>
  <c r="E9" i="1"/>
  <c r="D9" i="1"/>
  <c r="C9" i="1"/>
  <c r="D11" i="3"/>
  <c r="I9" i="2"/>
  <c r="I18" i="1"/>
  <c r="H18" i="1"/>
  <c r="G18" i="1"/>
  <c r="F18" i="1"/>
  <c r="E18" i="1"/>
  <c r="D18" i="1"/>
  <c r="C18" i="1"/>
  <c r="I45" i="1"/>
  <c r="H45" i="1"/>
  <c r="G45" i="1"/>
  <c r="F45" i="1"/>
  <c r="E45" i="1"/>
  <c r="D45" i="1"/>
  <c r="C45" i="1"/>
  <c r="D15" i="3"/>
  <c r="I24" i="2"/>
  <c r="I37" i="1"/>
  <c r="H37" i="1"/>
  <c r="G37" i="1"/>
  <c r="F37" i="1"/>
  <c r="E37" i="1"/>
  <c r="D37" i="1"/>
  <c r="C37" i="1"/>
  <c r="I18" i="2"/>
  <c r="I34" i="1"/>
  <c r="H34" i="1"/>
  <c r="G34" i="1"/>
  <c r="F34" i="1"/>
  <c r="E34" i="1"/>
  <c r="D34" i="1"/>
  <c r="C34" i="1"/>
  <c r="I32" i="1"/>
  <c r="H32" i="1"/>
  <c r="G32" i="1"/>
  <c r="F32" i="1"/>
  <c r="E32" i="1"/>
  <c r="D32" i="1"/>
  <c r="C32" i="1"/>
  <c r="I2" i="2"/>
  <c r="I42" i="1"/>
  <c r="H42" i="1"/>
  <c r="G42" i="1"/>
  <c r="F42" i="1"/>
  <c r="E42" i="1"/>
  <c r="D42" i="1"/>
  <c r="C42" i="1"/>
  <c r="D22" i="3"/>
  <c r="C2" i="5"/>
  <c r="I24" i="1"/>
  <c r="H24" i="1"/>
  <c r="G24" i="1"/>
  <c r="F24" i="1"/>
  <c r="E24" i="1"/>
  <c r="D24" i="1"/>
  <c r="C24" i="1"/>
  <c r="I36" i="1"/>
  <c r="H36" i="1"/>
  <c r="G36" i="1"/>
  <c r="F36" i="1"/>
  <c r="E36" i="1"/>
  <c r="D36" i="1"/>
  <c r="C36" i="1"/>
  <c r="I31" i="2"/>
  <c r="I41" i="1"/>
  <c r="H41" i="1"/>
  <c r="G41" i="1"/>
  <c r="F41" i="1"/>
  <c r="E41" i="1"/>
  <c r="D41" i="1"/>
  <c r="C41" i="1"/>
  <c r="I11" i="2"/>
  <c r="C33" i="1"/>
  <c r="D33" i="1"/>
  <c r="E33" i="1"/>
  <c r="F33" i="1"/>
  <c r="G33" i="1"/>
  <c r="H33" i="1"/>
  <c r="I33" i="1"/>
  <c r="I26" i="2"/>
  <c r="C19" i="1"/>
  <c r="D19" i="1"/>
  <c r="E19" i="1"/>
  <c r="F19" i="1"/>
  <c r="G19" i="1"/>
  <c r="H19" i="1"/>
  <c r="I19" i="1"/>
  <c r="C14" i="1"/>
  <c r="D14" i="1"/>
  <c r="E14" i="1"/>
  <c r="F14" i="1"/>
  <c r="G14" i="1"/>
  <c r="H14" i="1"/>
  <c r="I14" i="1"/>
  <c r="C13" i="1"/>
  <c r="D13" i="1"/>
  <c r="E13" i="1"/>
  <c r="F13" i="1"/>
  <c r="G13" i="1"/>
  <c r="H13" i="1"/>
  <c r="I13" i="1"/>
  <c r="C22" i="1"/>
  <c r="D22" i="1"/>
  <c r="E22" i="1"/>
  <c r="F22" i="1"/>
  <c r="G22" i="1"/>
  <c r="H22" i="1"/>
  <c r="I22" i="1"/>
  <c r="C44" i="1"/>
  <c r="D44" i="1"/>
  <c r="E44" i="1"/>
  <c r="F44" i="1"/>
  <c r="G44" i="1"/>
  <c r="H44" i="1"/>
  <c r="I44" i="1"/>
  <c r="B2" i="4"/>
  <c r="C15" i="1"/>
  <c r="D15" i="1"/>
  <c r="E15" i="1"/>
  <c r="F15" i="1"/>
  <c r="G15" i="1"/>
  <c r="H15" i="1"/>
  <c r="I15" i="1"/>
  <c r="C16" i="1"/>
  <c r="D16" i="1"/>
  <c r="E16" i="1"/>
  <c r="F16" i="1"/>
  <c r="G16" i="1"/>
  <c r="H16" i="1"/>
  <c r="I16" i="1"/>
  <c r="C26" i="1"/>
  <c r="D26" i="1"/>
  <c r="E26" i="1"/>
  <c r="F26" i="1"/>
  <c r="G26" i="1"/>
  <c r="H26" i="1"/>
  <c r="I26" i="1"/>
  <c r="C10" i="1"/>
  <c r="D10" i="1"/>
  <c r="E10" i="1"/>
  <c r="F10" i="1"/>
  <c r="G10" i="1"/>
  <c r="H10" i="1"/>
  <c r="I10" i="1"/>
  <c r="I28" i="1"/>
  <c r="H28" i="1"/>
  <c r="G28" i="1"/>
  <c r="F28" i="1"/>
  <c r="E28" i="1"/>
  <c r="D28" i="1"/>
  <c r="C28" i="1"/>
  <c r="I20" i="2"/>
  <c r="I43" i="1"/>
  <c r="H43" i="1"/>
  <c r="G43" i="1"/>
  <c r="F43" i="1"/>
  <c r="E43" i="1"/>
  <c r="D43" i="1"/>
  <c r="C43" i="1"/>
  <c r="I23" i="1"/>
  <c r="H23" i="1"/>
  <c r="G23" i="1"/>
  <c r="F23" i="1"/>
  <c r="E23" i="1"/>
  <c r="D23" i="1"/>
  <c r="C23" i="1"/>
  <c r="D16" i="3"/>
  <c r="I7" i="2"/>
  <c r="C15" i="5"/>
  <c r="I17" i="1"/>
  <c r="H17" i="1"/>
  <c r="G17" i="1"/>
  <c r="F17" i="1"/>
  <c r="E17" i="1"/>
  <c r="D17" i="1"/>
  <c r="C17" i="1"/>
  <c r="C20" i="5"/>
  <c r="G25" i="1"/>
  <c r="I4" i="1"/>
  <c r="H4" i="1"/>
  <c r="G4" i="1"/>
  <c r="F4" i="1"/>
  <c r="E4" i="1"/>
  <c r="D4" i="1"/>
  <c r="C4" i="1"/>
  <c r="S4" i="1"/>
  <c r="I5" i="2"/>
  <c r="I7" i="1"/>
  <c r="H7" i="1"/>
  <c r="G7" i="1"/>
  <c r="F7" i="1"/>
  <c r="E7" i="1"/>
  <c r="D7" i="1"/>
  <c r="C7" i="1"/>
  <c r="S7" i="1"/>
  <c r="D14" i="3"/>
  <c r="I13" i="2"/>
  <c r="G20" i="1"/>
  <c r="I20" i="1"/>
  <c r="H20" i="1"/>
  <c r="F20" i="1"/>
  <c r="E20" i="1"/>
  <c r="D20" i="1"/>
  <c r="C20" i="1"/>
  <c r="S20" i="1"/>
  <c r="I27" i="1"/>
  <c r="H27" i="1"/>
  <c r="G27" i="1"/>
  <c r="F27" i="1"/>
  <c r="E27" i="1"/>
  <c r="D27" i="1"/>
  <c r="C27" i="1"/>
  <c r="S27" i="1"/>
  <c r="I16" i="2"/>
  <c r="I38" i="1"/>
  <c r="H38" i="1"/>
  <c r="G38" i="1"/>
  <c r="F38" i="1"/>
  <c r="E38" i="1"/>
  <c r="D38" i="1"/>
  <c r="C38" i="1"/>
  <c r="D5" i="3"/>
  <c r="I32" i="2"/>
  <c r="I6" i="1"/>
  <c r="H6" i="1"/>
  <c r="G6" i="1"/>
  <c r="F6" i="1"/>
  <c r="E6" i="1"/>
  <c r="D6" i="1"/>
  <c r="C6" i="1"/>
  <c r="D3" i="3"/>
  <c r="I15" i="2"/>
  <c r="I46" i="1"/>
  <c r="H46" i="1"/>
  <c r="G46" i="1"/>
  <c r="F46" i="1"/>
  <c r="E46" i="1"/>
  <c r="D46" i="1"/>
  <c r="C46" i="1"/>
  <c r="C7" i="5"/>
  <c r="C16" i="5"/>
  <c r="C21" i="5"/>
  <c r="C3" i="5"/>
  <c r="I12" i="1"/>
  <c r="H12" i="1"/>
  <c r="G12" i="1"/>
  <c r="F12" i="1"/>
  <c r="E12" i="1"/>
  <c r="D12" i="1"/>
  <c r="C12" i="1"/>
  <c r="S12" i="1"/>
  <c r="D17" i="3"/>
  <c r="I6" i="2"/>
  <c r="I11" i="1"/>
  <c r="H11" i="1"/>
  <c r="G11" i="1"/>
  <c r="F11" i="1"/>
  <c r="E11" i="1"/>
  <c r="D11" i="1"/>
  <c r="C11" i="1"/>
  <c r="D6" i="3"/>
  <c r="I35" i="1"/>
  <c r="H35" i="1"/>
  <c r="G35" i="1"/>
  <c r="F35" i="1"/>
  <c r="E35" i="1"/>
  <c r="D35" i="1"/>
  <c r="C35" i="1"/>
  <c r="I21" i="2"/>
  <c r="C4" i="5"/>
  <c r="I21" i="1"/>
  <c r="H21" i="1"/>
  <c r="G21" i="1"/>
  <c r="F21" i="1"/>
  <c r="E21" i="1"/>
  <c r="D21" i="1"/>
  <c r="C21" i="1"/>
  <c r="I3" i="1"/>
  <c r="H3" i="1"/>
  <c r="G3" i="1"/>
  <c r="F3" i="1"/>
  <c r="E3" i="1"/>
  <c r="D3" i="1"/>
  <c r="C3" i="1"/>
  <c r="S3" i="1"/>
  <c r="D18" i="3"/>
  <c r="I30" i="2"/>
  <c r="S5" i="1"/>
  <c r="S8" i="1"/>
  <c r="D9" i="3"/>
  <c r="I29" i="2"/>
  <c r="I2" i="1"/>
  <c r="H2" i="1"/>
  <c r="G2" i="1"/>
  <c r="F2" i="1"/>
  <c r="E2" i="1"/>
  <c r="D2" i="1"/>
  <c r="C2" i="1"/>
  <c r="D4" i="3"/>
  <c r="I40" i="1"/>
  <c r="I39" i="1"/>
  <c r="I8" i="1"/>
  <c r="I30" i="1"/>
  <c r="I25" i="1"/>
  <c r="I5" i="1"/>
  <c r="H40" i="1"/>
  <c r="H39" i="1"/>
  <c r="H8" i="1"/>
  <c r="H30" i="1"/>
  <c r="H25" i="1"/>
  <c r="H5" i="1"/>
  <c r="G40" i="1"/>
  <c r="G39" i="1"/>
  <c r="G8" i="1"/>
  <c r="G30" i="1"/>
  <c r="G5" i="1"/>
  <c r="F40" i="1"/>
  <c r="F39" i="1"/>
  <c r="F8" i="1"/>
  <c r="F30" i="1"/>
  <c r="F25" i="1"/>
  <c r="F5" i="1"/>
  <c r="E40" i="1"/>
  <c r="E39" i="1"/>
  <c r="E8" i="1"/>
  <c r="E30" i="1"/>
  <c r="E25" i="1"/>
  <c r="E5" i="1"/>
  <c r="D40" i="1"/>
  <c r="D39" i="1"/>
  <c r="D8" i="1"/>
  <c r="D30" i="1"/>
  <c r="D25" i="1"/>
  <c r="D5" i="1"/>
  <c r="C40" i="1"/>
  <c r="C39" i="1"/>
  <c r="C8" i="1"/>
  <c r="C30" i="1"/>
  <c r="C25" i="1"/>
  <c r="C5" i="1"/>
  <c r="C5" i="5"/>
  <c r="C6" i="5"/>
  <c r="C8" i="5"/>
  <c r="C9" i="5"/>
  <c r="C10" i="5"/>
  <c r="C11" i="5"/>
  <c r="C12" i="5"/>
  <c r="C14" i="5"/>
  <c r="C18" i="5"/>
  <c r="C17" i="5"/>
  <c r="C13" i="5"/>
  <c r="D7" i="3"/>
  <c r="D8" i="3"/>
  <c r="D10" i="3"/>
  <c r="D13" i="3"/>
  <c r="D20" i="3"/>
  <c r="D12" i="3"/>
  <c r="I22" i="2"/>
  <c r="I8" i="2"/>
  <c r="I10" i="2"/>
  <c r="I4" i="2"/>
  <c r="I23" i="2"/>
  <c r="I19" i="2"/>
  <c r="I3" i="2"/>
  <c r="B1" i="4"/>
  <c r="S31" i="1" l="1"/>
  <c r="S9" i="1"/>
  <c r="S45" i="1"/>
  <c r="Q31" i="1"/>
  <c r="R31" i="1"/>
  <c r="S32" i="1"/>
  <c r="S34" i="1"/>
  <c r="S42" i="1"/>
  <c r="S37" i="1"/>
  <c r="S18" i="1"/>
  <c r="S29" i="1"/>
  <c r="Q29" i="1"/>
  <c r="R29" i="1"/>
  <c r="Q9" i="1"/>
  <c r="R9" i="1"/>
  <c r="Q18" i="1"/>
  <c r="R18" i="1"/>
  <c r="Q45" i="1"/>
  <c r="R45" i="1"/>
  <c r="Q37" i="1"/>
  <c r="R37" i="1"/>
  <c r="Q34" i="1"/>
  <c r="R34" i="1"/>
  <c r="Q32" i="1"/>
  <c r="R32" i="1"/>
  <c r="S24" i="1"/>
  <c r="Q42" i="1"/>
  <c r="R42" i="1"/>
  <c r="S38" i="1"/>
  <c r="S17" i="1"/>
  <c r="S6" i="1"/>
  <c r="Q24" i="1"/>
  <c r="R24" i="1"/>
  <c r="S36" i="1"/>
  <c r="Q36" i="1"/>
  <c r="R36" i="1"/>
  <c r="S41" i="1"/>
  <c r="Q41" i="1"/>
  <c r="R41" i="1"/>
  <c r="S16" i="1"/>
  <c r="Q19" i="1"/>
  <c r="R26" i="1"/>
  <c r="S10" i="1"/>
  <c r="R22" i="1"/>
  <c r="Q14" i="1"/>
  <c r="R16" i="1"/>
  <c r="Q22" i="1"/>
  <c r="Q13" i="1"/>
  <c r="R19" i="1"/>
  <c r="R10" i="1"/>
  <c r="Q16" i="1"/>
  <c r="Q15" i="1"/>
  <c r="S22" i="1"/>
  <c r="S14" i="1"/>
  <c r="Q33" i="1"/>
  <c r="Q10" i="1"/>
  <c r="Q26" i="1"/>
  <c r="R15" i="1"/>
  <c r="Q44" i="1"/>
  <c r="R14" i="1"/>
  <c r="S44" i="1"/>
  <c r="S13" i="1"/>
  <c r="S33" i="1"/>
  <c r="S28" i="1"/>
  <c r="S26" i="1"/>
  <c r="S15" i="1"/>
  <c r="R44" i="1"/>
  <c r="R13" i="1"/>
  <c r="S19" i="1"/>
  <c r="R33" i="1"/>
  <c r="Q28" i="1"/>
  <c r="R28" i="1"/>
  <c r="S43" i="1"/>
  <c r="Q43" i="1"/>
  <c r="R43" i="1"/>
  <c r="S23" i="1"/>
  <c r="Q23" i="1"/>
  <c r="R23" i="1"/>
  <c r="Q17" i="1"/>
  <c r="R17" i="1"/>
  <c r="Q4" i="1"/>
  <c r="R4" i="1"/>
  <c r="Q7" i="1"/>
  <c r="R7" i="1"/>
  <c r="Q20" i="1"/>
  <c r="R20" i="1"/>
  <c r="Q27" i="1"/>
  <c r="R27" i="1"/>
  <c r="Q38" i="1"/>
  <c r="R38" i="1"/>
  <c r="Q6" i="1"/>
  <c r="R6" i="1"/>
  <c r="S46" i="1"/>
  <c r="Q46" i="1"/>
  <c r="R46" i="1"/>
  <c r="S2" i="1"/>
  <c r="Q12" i="1"/>
  <c r="R12" i="1"/>
  <c r="S11" i="1"/>
  <c r="Q11" i="1"/>
  <c r="R11" i="1"/>
  <c r="S35" i="1"/>
  <c r="Q35" i="1"/>
  <c r="R35" i="1"/>
  <c r="S21" i="1"/>
  <c r="Q21" i="1"/>
  <c r="R21" i="1"/>
  <c r="Q3" i="1"/>
  <c r="R3" i="1"/>
  <c r="R8" i="1"/>
  <c r="R30" i="1"/>
  <c r="R5" i="1"/>
  <c r="S39" i="1"/>
  <c r="R25" i="1"/>
  <c r="S40" i="1"/>
  <c r="R39" i="1"/>
  <c r="S25" i="1"/>
  <c r="R40" i="1"/>
  <c r="Q25" i="1"/>
  <c r="Q40" i="1"/>
  <c r="Q30" i="1"/>
  <c r="S30" i="1"/>
  <c r="Q2" i="1"/>
  <c r="Q8" i="1"/>
  <c r="Q5" i="1"/>
  <c r="Q39" i="1"/>
  <c r="R2" i="1"/>
  <c r="B6" i="4"/>
  <c r="D6" i="4"/>
  <c r="H6" i="4"/>
  <c r="E6" i="4"/>
  <c r="F6" i="4"/>
  <c r="C6" i="4"/>
  <c r="G6" i="4"/>
  <c r="B3" i="4"/>
  <c r="B9" i="4" l="1"/>
  <c r="U6" i="1"/>
  <c r="U7" i="1"/>
  <c r="B8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12763BB-A212-4434-8265-3B5C97ECE232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CFD80CC8-4C80-4B5B-BC0B-65928C65ED98}" name="WorksheetConnection_Fallout.xlsm!Dwellers" type="102" refreshedVersion="7" minRefreshableVersion="5">
    <extLst>
      <ext xmlns:x15="http://schemas.microsoft.com/office/spreadsheetml/2010/11/main" uri="{DE250136-89BD-433C-8126-D09CA5730AF9}">
        <x15:connection id="Dwellers">
          <x15:rangePr sourceName="_xlcn.WorksheetConnection_Fallout.xlsmDwellers1"/>
        </x15:connection>
      </ext>
    </extLst>
  </connection>
  <connection id="3" xr16:uid="{3CD48A02-77D7-4F83-A039-FEE8DFC540CA}" name="WorksheetConnection_Fallout.xlsm!Outfits" type="102" refreshedVersion="7" minRefreshableVersion="5">
    <extLst>
      <ext xmlns:x15="http://schemas.microsoft.com/office/spreadsheetml/2010/11/main" uri="{DE250136-89BD-433C-8126-D09CA5730AF9}">
        <x15:connection id="Outfits">
          <x15:rangePr sourceName="_xlcn.WorksheetConnection_Fallout.xlsmOutfits1"/>
        </x15:connection>
      </ext>
    </extLst>
  </connection>
</connections>
</file>

<file path=xl/sharedStrings.xml><?xml version="1.0" encoding="utf-8"?>
<sst xmlns="http://schemas.openxmlformats.org/spreadsheetml/2006/main" count="508" uniqueCount="203">
  <si>
    <t>Dweller</t>
  </si>
  <si>
    <t>S</t>
  </si>
  <si>
    <t>P</t>
  </si>
  <si>
    <t>E</t>
  </si>
  <si>
    <t>C</t>
  </si>
  <si>
    <t>I</t>
  </si>
  <si>
    <t>A</t>
  </si>
  <si>
    <t>L</t>
  </si>
  <si>
    <t>~Gl. Longfellow</t>
  </si>
  <si>
    <t>Job</t>
  </si>
  <si>
    <t>Relationship</t>
  </si>
  <si>
    <t>Father</t>
  </si>
  <si>
    <t>Mother</t>
  </si>
  <si>
    <t>Outfit</t>
  </si>
  <si>
    <t>Weapon</t>
  </si>
  <si>
    <t>Damage</t>
  </si>
  <si>
    <t>~Gl. Tenpenny</t>
  </si>
  <si>
    <t>~Sd. Graham</t>
  </si>
  <si>
    <t>-</t>
  </si>
  <si>
    <t>Total Dwellers</t>
  </si>
  <si>
    <t>Civils</t>
  </si>
  <si>
    <t>~Sd. Garry Longfellow</t>
  </si>
  <si>
    <t>Media</t>
  </si>
  <si>
    <t>Total</t>
  </si>
  <si>
    <t>Army</t>
  </si>
  <si>
    <t>MaxDwellers</t>
  </si>
  <si>
    <t>AssignedDwellers</t>
  </si>
  <si>
    <t>Production</t>
  </si>
  <si>
    <t>Storage</t>
  </si>
  <si>
    <t>Exploring</t>
  </si>
  <si>
    <t>Power Plant 1</t>
  </si>
  <si>
    <t>Power Plant 2</t>
  </si>
  <si>
    <t>Overseer's Control Station</t>
  </si>
  <si>
    <t>Rótulos de Linha</t>
  </si>
  <si>
    <t>Total Geral</t>
  </si>
  <si>
    <t>Soma de AssignedDwellers</t>
  </si>
  <si>
    <t>Soma de MaxDwellers</t>
  </si>
  <si>
    <t>~Sd. Jenny L. Graham</t>
  </si>
  <si>
    <t>Merc Gear 1</t>
  </si>
  <si>
    <t>Henrietta</t>
  </si>
  <si>
    <t>13-16</t>
  </si>
  <si>
    <t>Fortified Vault Door</t>
  </si>
  <si>
    <t>Residence 1</t>
  </si>
  <si>
    <t>Hospital</t>
  </si>
  <si>
    <t>Julia C. Walker</t>
  </si>
  <si>
    <t>~Sd. Walker</t>
  </si>
  <si>
    <t>Advanced Lab Coat</t>
  </si>
  <si>
    <t>Rusty Laser Pistol</t>
  </si>
  <si>
    <t>Madison Walker</t>
  </si>
  <si>
    <t>Officer Uniform</t>
  </si>
  <si>
    <t>Hunting Rifle</t>
  </si>
  <si>
    <t>5_6</t>
  </si>
  <si>
    <t>Item</t>
  </si>
  <si>
    <t>~Sd. Young</t>
  </si>
  <si>
    <t>Armored Vault suit</t>
  </si>
  <si>
    <t>Used storage</t>
  </si>
  <si>
    <t>Glue</t>
  </si>
  <si>
    <t>Golden Clock</t>
  </si>
  <si>
    <t>Toy car</t>
  </si>
  <si>
    <t>Items</t>
  </si>
  <si>
    <t>glass 3</t>
  </si>
  <si>
    <t>Hardened Flamer</t>
  </si>
  <si>
    <t>15_18</t>
  </si>
  <si>
    <t>Science Station</t>
  </si>
  <si>
    <t>Joana T. Englund</t>
  </si>
  <si>
    <t>Engineer Outfit</t>
  </si>
  <si>
    <t>Fist</t>
  </si>
  <si>
    <t>Rebecca D. Hawkins</t>
  </si>
  <si>
    <t>Commander Uniform</t>
  </si>
  <si>
    <t>Enhanced Sniper Rifle</t>
  </si>
  <si>
    <t>10_12</t>
  </si>
  <si>
    <t>Eric Hawkins</t>
  </si>
  <si>
    <t>Lvl</t>
  </si>
  <si>
    <t>Joan T. Englund</t>
  </si>
  <si>
    <t>~Sd. Wes Englund</t>
  </si>
  <si>
    <t>Radio Studio</t>
  </si>
  <si>
    <t>Rebecca L. Graham</t>
  </si>
  <si>
    <t>Nightwear</t>
  </si>
  <si>
    <t>Enhanced Hunting Rifle</t>
  </si>
  <si>
    <t>5_7</t>
  </si>
  <si>
    <t>Ms. J. Y. Longfellow</t>
  </si>
  <si>
    <t>Tattered Longcoat</t>
  </si>
  <si>
    <t>Focused Gatling Laser</t>
  </si>
  <si>
    <t>21_24</t>
  </si>
  <si>
    <t>Stats average</t>
  </si>
  <si>
    <t>Strong</t>
  </si>
  <si>
    <t>Attribute</t>
  </si>
  <si>
    <t>StatsBuild</t>
  </si>
  <si>
    <t>Genre</t>
  </si>
  <si>
    <t>male</t>
  </si>
  <si>
    <t>female</t>
  </si>
  <si>
    <t>Tenpenny's Suit</t>
  </si>
  <si>
    <t>Rusty Gauss Rifle</t>
  </si>
  <si>
    <t>Right job assignment</t>
  </si>
  <si>
    <t>Wrong job assignment</t>
  </si>
  <si>
    <t>Total storage</t>
  </si>
  <si>
    <t>(Vários itens)</t>
  </si>
  <si>
    <t>Valores</t>
  </si>
  <si>
    <t>strength</t>
  </si>
  <si>
    <t>Perception</t>
  </si>
  <si>
    <t>Endurance</t>
  </si>
  <si>
    <t>Charisma</t>
  </si>
  <si>
    <t>Intelligence</t>
  </si>
  <si>
    <t>Agility</t>
  </si>
  <si>
    <t>Lucky</t>
  </si>
  <si>
    <t>Bar (Charism Improvment)</t>
  </si>
  <si>
    <t>Naughty Nightwear</t>
  </si>
  <si>
    <t>Enhanced Sawed-Off Shotgun</t>
  </si>
  <si>
    <t>Bruce Longfellow</t>
  </si>
  <si>
    <t>Clergy Outfit</t>
  </si>
  <si>
    <t>Rusty 10mm Pistol</t>
  </si>
  <si>
    <t>Charles Tenpenny</t>
  </si>
  <si>
    <t>Ms. Rose M Tenpenny</t>
  </si>
  <si>
    <t>Strength Center</t>
  </si>
  <si>
    <t>Athletics Studio</t>
  </si>
  <si>
    <t>Weapons Station</t>
  </si>
  <si>
    <t>School</t>
  </si>
  <si>
    <t>Fitness Studio</t>
  </si>
  <si>
    <t>Vincent Mitchell</t>
  </si>
  <si>
    <t>Knight Armor</t>
  </si>
  <si>
    <t>Enhanced Combat Shotgun</t>
  </si>
  <si>
    <t>13-15</t>
  </si>
  <si>
    <t>~Sd. Payne</t>
  </si>
  <si>
    <t>Wasteland Medic</t>
  </si>
  <si>
    <t>Enhanced Lever-Action Rifle</t>
  </si>
  <si>
    <t>Nicole Frosts</t>
  </si>
  <si>
    <t>Lab Coat</t>
  </si>
  <si>
    <t>Julie W. Payne</t>
  </si>
  <si>
    <t>Horror Fan Outfit</t>
  </si>
  <si>
    <t>Laser Rifle</t>
  </si>
  <si>
    <t>Battle Armor</t>
  </si>
  <si>
    <t>Weapon Factory</t>
  </si>
  <si>
    <t>Gabriel C. Walker</t>
  </si>
  <si>
    <t>Residence 2</t>
  </si>
  <si>
    <t>Combat Armor</t>
  </si>
  <si>
    <t>Pipe Rifle</t>
  </si>
  <si>
    <t>5 7</t>
  </si>
  <si>
    <t>Jose Longfellow</t>
  </si>
  <si>
    <t>Ruth L. graham</t>
  </si>
  <si>
    <t>Military Fatigues</t>
  </si>
  <si>
    <t>Kevin Mitchell</t>
  </si>
  <si>
    <t>Victory Rifle</t>
  </si>
  <si>
    <t>Mr. Snyder</t>
  </si>
  <si>
    <t>Alice Snyder</t>
  </si>
  <si>
    <t>Sturdy Combat Armor</t>
  </si>
  <si>
    <t>Jennifer Snyder</t>
  </si>
  <si>
    <t>Rusty Sawed-Off Shotgun</t>
  </si>
  <si>
    <t>Dorothy Tenpenny</t>
  </si>
  <si>
    <t>Sci-Fi Fan Outfit</t>
  </si>
  <si>
    <t>Rusty Hunting Rifle</t>
  </si>
  <si>
    <t>David Newton</t>
  </si>
  <si>
    <t>Jordan J Y Longfellow</t>
  </si>
  <si>
    <t>Enhanced 10mm Pistol</t>
  </si>
  <si>
    <t>Samuel Jones</t>
  </si>
  <si>
    <t>Mayor Outfit</t>
  </si>
  <si>
    <t>Tuned  Plasma Pistol</t>
  </si>
  <si>
    <t>Erick Hawkins</t>
  </si>
  <si>
    <t>Cafeteria</t>
  </si>
  <si>
    <t>Sturdy Raider Armor</t>
  </si>
  <si>
    <t>Eugene W. Payne</t>
  </si>
  <si>
    <t>Julia Tenpenny</t>
  </si>
  <si>
    <t>Ms. Rose M. Tenpenny</t>
  </si>
  <si>
    <t>Initiate Robe</t>
  </si>
  <si>
    <t>Axelle Tenpenny</t>
  </si>
  <si>
    <t>Handyman Jumpsuiut</t>
  </si>
  <si>
    <t>Richard Hale</t>
  </si>
  <si>
    <t>Waitress Uniform</t>
  </si>
  <si>
    <t>Ms. Rose M tenpenny</t>
  </si>
  <si>
    <t>Jose M Tenpenny</t>
  </si>
  <si>
    <t>Water treatment</t>
  </si>
  <si>
    <t>Sawed-Off Shotgun</t>
  </si>
  <si>
    <t>6 7</t>
  </si>
  <si>
    <t>Russel Green</t>
  </si>
  <si>
    <t>Mr. Green</t>
  </si>
  <si>
    <t>Ms. Green</t>
  </si>
  <si>
    <t>Accountant Outfit</t>
  </si>
  <si>
    <t>Ms. G. J. Green</t>
  </si>
  <si>
    <t>Heavy vault suit</t>
  </si>
  <si>
    <t>Medieval Ruler Outfit</t>
  </si>
  <si>
    <t>Nicholas Mitchell</t>
  </si>
  <si>
    <t>Radiation Suit</t>
  </si>
  <si>
    <t>Lever-Action Rifle</t>
  </si>
  <si>
    <t>4 5</t>
  </si>
  <si>
    <t>Sean day</t>
  </si>
  <si>
    <t>Henry Mitchell</t>
  </si>
  <si>
    <t>Arcade</t>
  </si>
  <si>
    <t>Country Girl</t>
  </si>
  <si>
    <t>Hardened Hunting Rifle</t>
  </si>
  <si>
    <t>5 8</t>
  </si>
  <si>
    <t>Larry Payne</t>
  </si>
  <si>
    <t>Water Treatment</t>
  </si>
  <si>
    <t>Scoped .44</t>
  </si>
  <si>
    <t>3 4</t>
  </si>
  <si>
    <t>Matthew Hawkins</t>
  </si>
  <si>
    <t>Surgeon Outfit</t>
  </si>
  <si>
    <t>Giddyup buttercup</t>
  </si>
  <si>
    <t>Camera</t>
  </si>
  <si>
    <t>Magnifying Glass</t>
  </si>
  <si>
    <t>Gold Watch</t>
  </si>
  <si>
    <t>Chemistry Flask</t>
  </si>
  <si>
    <t>Microscope</t>
  </si>
  <si>
    <t>Alarm Clock</t>
  </si>
  <si>
    <t>Globe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</si>
</sst>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" fontId="0" fillId="0" borderId="0" xfId="0" applyNumberFormat="1"/>
    <xf numFmtId="1" fontId="0" fillId="0" borderId="0" xfId="0" applyNumberFormat="1"/>
    <xf numFmtId="0" fontId="2" fillId="0" borderId="0" xfId="0" applyFont="1"/>
  </cellXfs>
  <cellStyles count="1">
    <cellStyle name="Normal" xfId="0" builtinId="0"/>
  </cellStyles>
  <dxfs count="1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1" tint="0.14996795556505021"/>
      </font>
      <fill>
        <patternFill>
          <bgColor theme="9" tint="0.59996337778862885"/>
        </patternFill>
      </fill>
    </dxf>
    <dxf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numFmt numFmtId="0" formatCode="General"/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powerPivotData" Target="model/item.data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050"/>
              <a:t>Dwellers Special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Database!$A$6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Database!$B$5:$H$5</c:f>
              <c:strCache>
                <c:ptCount val="7"/>
                <c:pt idx="0">
                  <c:v>S</c:v>
                </c:pt>
                <c:pt idx="1">
                  <c:v>P</c:v>
                </c:pt>
                <c:pt idx="2">
                  <c:v>E</c:v>
                </c:pt>
                <c:pt idx="3">
                  <c:v>C</c:v>
                </c:pt>
                <c:pt idx="4">
                  <c:v>I</c:v>
                </c:pt>
                <c:pt idx="5">
                  <c:v>A</c:v>
                </c:pt>
                <c:pt idx="6">
                  <c:v>L</c:v>
                </c:pt>
              </c:strCache>
            </c:strRef>
          </c:cat>
          <c:val>
            <c:numRef>
              <c:f>Database!$B$6:$H$6</c:f>
              <c:numCache>
                <c:formatCode>General</c:formatCode>
                <c:ptCount val="7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29-4BCE-B14B-F5E77F92E9A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95021504"/>
        <c:axId val="95019008"/>
      </c:barChart>
      <c:catAx>
        <c:axId val="9502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5019008"/>
        <c:crosses val="autoZero"/>
        <c:auto val="1"/>
        <c:lblAlgn val="ctr"/>
        <c:lblOffset val="100"/>
        <c:noMultiLvlLbl val="0"/>
      </c:catAx>
      <c:valAx>
        <c:axId val="950190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02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58252277288868"/>
          <c:y val="6.5439672801635998E-2"/>
          <c:w val="0.71173691523853633"/>
          <c:h val="0.74230230423651034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5B4-44D4-8EAD-491C2156231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5B4-44D4-8EAD-491C21562318}"/>
              </c:ext>
            </c:extLst>
          </c:dPt>
          <c:cat>
            <c:strRef>
              <c:f>Database!$A$1:$A$2</c:f>
              <c:strCache>
                <c:ptCount val="2"/>
                <c:pt idx="0">
                  <c:v>Army</c:v>
                </c:pt>
                <c:pt idx="1">
                  <c:v>Civils</c:v>
                </c:pt>
              </c:strCache>
            </c:strRef>
          </c:cat>
          <c:val>
            <c:numRef>
              <c:f>Database!$B$1:$B$2</c:f>
              <c:numCache>
                <c:formatCode>General</c:formatCode>
                <c:ptCount val="2"/>
                <c:pt idx="0">
                  <c:v>7</c:v>
                </c:pt>
                <c:pt idx="1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B4-44D4-8EAD-491C21562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962173845916307E-2"/>
          <c:y val="0.79528782828526801"/>
          <c:w val="0.89575605990427665"/>
          <c:h val="0.142940361621463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8354232552552879"/>
          <c:y val="0.481910603498379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Database!$A$3</c:f>
              <c:strCache>
                <c:ptCount val="1"/>
                <c:pt idx="0">
                  <c:v>Total Dwellers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Database!$B$3</c:f>
              <c:numCache>
                <c:formatCode>General</c:formatCode>
                <c:ptCount val="1"/>
                <c:pt idx="0">
                  <c:v>45</c:v>
                </c:pt>
              </c:numCache>
            </c:num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7374-45F3-ABBD-29B62BFCA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6560480"/>
        <c:axId val="16561312"/>
      </c:barChart>
      <c:catAx>
        <c:axId val="1656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61312"/>
        <c:crosses val="autoZero"/>
        <c:auto val="1"/>
        <c:lblAlgn val="ctr"/>
        <c:lblOffset val="100"/>
        <c:noMultiLvlLbl val="0"/>
      </c:catAx>
      <c:valAx>
        <c:axId val="165613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560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[Fallout.xlsm]Database!Jobs</c:name>
    <c:fmtId val="2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78798610872331"/>
          <c:y val="5.0925925925925923E-2"/>
          <c:w val="0.86764432830175708"/>
          <c:h val="0.574315398075240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Database!$L$1</c:f>
              <c:strCache>
                <c:ptCount val="1"/>
                <c:pt idx="0">
                  <c:v>Soma de MaxDwellers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Database!$K$2:$K$22</c:f>
              <c:strCache>
                <c:ptCount val="20"/>
                <c:pt idx="0">
                  <c:v>Arcade</c:v>
                </c:pt>
                <c:pt idx="1">
                  <c:v>Athletics Studio</c:v>
                </c:pt>
                <c:pt idx="2">
                  <c:v>Bar (Charism Improvment)</c:v>
                </c:pt>
                <c:pt idx="3">
                  <c:v>Cafeteria</c:v>
                </c:pt>
                <c:pt idx="4">
                  <c:v>Exploring</c:v>
                </c:pt>
                <c:pt idx="5">
                  <c:v>Fitness Studio</c:v>
                </c:pt>
                <c:pt idx="6">
                  <c:v>Fortified Vault Door</c:v>
                </c:pt>
                <c:pt idx="7">
                  <c:v>Hospital</c:v>
                </c:pt>
                <c:pt idx="8">
                  <c:v>Overseer's Control Station</c:v>
                </c:pt>
                <c:pt idx="9">
                  <c:v>Power Plant 1</c:v>
                </c:pt>
                <c:pt idx="10">
                  <c:v>Power Plant 2</c:v>
                </c:pt>
                <c:pt idx="11">
                  <c:v>Radio Studio</c:v>
                </c:pt>
                <c:pt idx="12">
                  <c:v>Residence 1</c:v>
                </c:pt>
                <c:pt idx="13">
                  <c:v>Residence 2</c:v>
                </c:pt>
                <c:pt idx="14">
                  <c:v>School</c:v>
                </c:pt>
                <c:pt idx="15">
                  <c:v>Science Station</c:v>
                </c:pt>
                <c:pt idx="16">
                  <c:v>Strength Center</c:v>
                </c:pt>
                <c:pt idx="17">
                  <c:v>Water Treatment</c:v>
                </c:pt>
                <c:pt idx="18">
                  <c:v>Weapon Factory</c:v>
                </c:pt>
                <c:pt idx="19">
                  <c:v>Weapons Station</c:v>
                </c:pt>
              </c:strCache>
            </c:strRef>
          </c:cat>
          <c:val>
            <c:numRef>
              <c:f>Database!$L$2:$L$22</c:f>
              <c:numCache>
                <c:formatCode>General</c:formatCode>
                <c:ptCount val="20"/>
                <c:pt idx="0">
                  <c:v>6</c:v>
                </c:pt>
                <c:pt idx="1">
                  <c:v>2</c:v>
                </c:pt>
                <c:pt idx="2">
                  <c:v>2</c:v>
                </c:pt>
                <c:pt idx="3">
                  <c:v>6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6</c:v>
                </c:pt>
                <c:pt idx="9">
                  <c:v>6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6</c:v>
                </c:pt>
                <c:pt idx="14">
                  <c:v>2</c:v>
                </c:pt>
                <c:pt idx="15">
                  <c:v>4</c:v>
                </c:pt>
                <c:pt idx="16">
                  <c:v>2</c:v>
                </c:pt>
                <c:pt idx="17">
                  <c:v>6</c:v>
                </c:pt>
                <c:pt idx="18">
                  <c:v>6</c:v>
                </c:pt>
                <c:pt idx="1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96-4FF3-9C8B-15EF34934299}"/>
            </c:ext>
          </c:extLst>
        </c:ser>
        <c:ser>
          <c:idx val="1"/>
          <c:order val="1"/>
          <c:tx>
            <c:strRef>
              <c:f>Database!$M$1</c:f>
              <c:strCache>
                <c:ptCount val="1"/>
                <c:pt idx="0">
                  <c:v>Soma de AssignedDwellers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Database!$K$2:$K$22</c:f>
              <c:strCache>
                <c:ptCount val="20"/>
                <c:pt idx="0">
                  <c:v>Arcade</c:v>
                </c:pt>
                <c:pt idx="1">
                  <c:v>Athletics Studio</c:v>
                </c:pt>
                <c:pt idx="2">
                  <c:v>Bar (Charism Improvment)</c:v>
                </c:pt>
                <c:pt idx="3">
                  <c:v>Cafeteria</c:v>
                </c:pt>
                <c:pt idx="4">
                  <c:v>Exploring</c:v>
                </c:pt>
                <c:pt idx="5">
                  <c:v>Fitness Studio</c:v>
                </c:pt>
                <c:pt idx="6">
                  <c:v>Fortified Vault Door</c:v>
                </c:pt>
                <c:pt idx="7">
                  <c:v>Hospital</c:v>
                </c:pt>
                <c:pt idx="8">
                  <c:v>Overseer's Control Station</c:v>
                </c:pt>
                <c:pt idx="9">
                  <c:v>Power Plant 1</c:v>
                </c:pt>
                <c:pt idx="10">
                  <c:v>Power Plant 2</c:v>
                </c:pt>
                <c:pt idx="11">
                  <c:v>Radio Studio</c:v>
                </c:pt>
                <c:pt idx="12">
                  <c:v>Residence 1</c:v>
                </c:pt>
                <c:pt idx="13">
                  <c:v>Residence 2</c:v>
                </c:pt>
                <c:pt idx="14">
                  <c:v>School</c:v>
                </c:pt>
                <c:pt idx="15">
                  <c:v>Science Station</c:v>
                </c:pt>
                <c:pt idx="16">
                  <c:v>Strength Center</c:v>
                </c:pt>
                <c:pt idx="17">
                  <c:v>Water Treatment</c:v>
                </c:pt>
                <c:pt idx="18">
                  <c:v>Weapon Factory</c:v>
                </c:pt>
                <c:pt idx="19">
                  <c:v>Weapons Station</c:v>
                </c:pt>
              </c:strCache>
            </c:strRef>
          </c:cat>
          <c:val>
            <c:numRef>
              <c:f>Database!$M$2:$M$22</c:f>
              <c:numCache>
                <c:formatCode>General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7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6</c:v>
                </c:pt>
                <c:pt idx="10">
                  <c:v>4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7</c:v>
                </c:pt>
                <c:pt idx="18">
                  <c:v>1</c:v>
                </c:pt>
                <c:pt idx="1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96-4FF3-9C8B-15EF3493429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95021504"/>
        <c:axId val="95021920"/>
      </c:barChart>
      <c:catAx>
        <c:axId val="9502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5021920"/>
        <c:crosses val="autoZero"/>
        <c:auto val="1"/>
        <c:lblAlgn val="ctr"/>
        <c:lblOffset val="100"/>
        <c:noMultiLvlLbl val="0"/>
      </c:catAx>
      <c:valAx>
        <c:axId val="950219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02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 sz="1050"/>
              <a:t>Storage usage</a:t>
            </a:r>
          </a:p>
        </c:rich>
      </c:tx>
      <c:layout>
        <c:manualLayout>
          <c:xMode val="edge"/>
          <c:yMode val="edge"/>
          <c:x val="0.28266426696662922"/>
          <c:y val="0.379052448952355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221453378933694E-2"/>
          <c:y val="4.6781406345984274E-2"/>
          <c:w val="0.91369283385031419"/>
          <c:h val="0.7917336522605713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alpha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DE0-44B2-A00A-C7BBD2CE09B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DE0-44B2-A00A-C7BBD2CE09B0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1DE0-44B2-A00A-C7BBD2CE09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Database!$D$1:$D$2</c:f>
              <c:strCache>
                <c:ptCount val="2"/>
                <c:pt idx="0">
                  <c:v>Used storage</c:v>
                </c:pt>
                <c:pt idx="1">
                  <c:v>Total storage</c:v>
                </c:pt>
              </c:strCache>
            </c:strRef>
          </c:cat>
          <c:val>
            <c:numRef>
              <c:f>Database!$E$1:$E$2</c:f>
              <c:numCache>
                <c:formatCode>General</c:formatCode>
                <c:ptCount val="2"/>
                <c:pt idx="0">
                  <c:v>11</c:v>
                </c:pt>
                <c:pt idx="1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E0-44B2-A00A-C7BBD2CE09B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68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6787941309018386E-2"/>
          <c:y val="0.85402049104441469"/>
          <c:w val="0.94098411940931626"/>
          <c:h val="9.8468937905215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Right Job</a:t>
            </a:r>
          </a:p>
          <a:p>
            <a:pPr>
              <a:defRPr/>
            </a:pPr>
            <a:r>
              <a:rPr lang="pt-BR"/>
              <a:t>Assignment</a:t>
            </a:r>
          </a:p>
        </c:rich>
      </c:tx>
      <c:layout>
        <c:manualLayout>
          <c:xMode val="edge"/>
          <c:yMode val="edge"/>
          <c:x val="0.24864950803935684"/>
          <c:y val="0.373995132953466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9.2679385649148044E-2"/>
          <c:y val="9.8307217473884143E-2"/>
          <c:w val="0.8456479481641469"/>
          <c:h val="0.83661324786324787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412-4806-BE13-E2CC3C98AD1E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412-4806-BE13-E2CC3C98AD1E}"/>
              </c:ext>
            </c:extLst>
          </c:dPt>
          <c:cat>
            <c:strRef>
              <c:f>Database!$A$8:$A$9</c:f>
              <c:strCache>
                <c:ptCount val="2"/>
                <c:pt idx="0">
                  <c:v>Wrong job assignment</c:v>
                </c:pt>
                <c:pt idx="1">
                  <c:v>Right job assignment</c:v>
                </c:pt>
              </c:strCache>
            </c:strRef>
          </c:cat>
          <c:val>
            <c:numRef>
              <c:f>Database!$B$8:$B$9</c:f>
              <c:numCache>
                <c:formatCode>General</c:formatCode>
                <c:ptCount val="2"/>
                <c:pt idx="0">
                  <c:v>13</c:v>
                </c:pt>
                <c:pt idx="1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12-4806-BE13-E2CC3C98AD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[Fallout.xlsm]Database!ArmySpecialsAverage</c:name>
    <c:fmtId val="34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pt-BR" sz="1050" b="1" i="0" cap="all" baseline="0">
                <a:effectLst/>
              </a:rPr>
              <a:t>Army Special Average</a:t>
            </a:r>
            <a:endParaRPr lang="pt-BR" sz="10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diamond"/>
          <c:size val="6"/>
          <c:spPr>
            <a:solidFill>
              <a:schemeClr val="accent6"/>
            </a:solidFill>
            <a:ln w="9525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Database!$C$13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Database!$B$14:$B$20</c:f>
              <c:strCache>
                <c:ptCount val="7"/>
                <c:pt idx="0">
                  <c:v>strength</c:v>
                </c:pt>
                <c:pt idx="1">
                  <c:v>Perception</c:v>
                </c:pt>
                <c:pt idx="2">
                  <c:v>Endurance</c:v>
                </c:pt>
                <c:pt idx="3">
                  <c:v>Charisma</c:v>
                </c:pt>
                <c:pt idx="4">
                  <c:v>Intelligence</c:v>
                </c:pt>
                <c:pt idx="5">
                  <c:v>Agility</c:v>
                </c:pt>
                <c:pt idx="6">
                  <c:v>Lucky</c:v>
                </c:pt>
              </c:strCache>
            </c:strRef>
          </c:cat>
          <c:val>
            <c:numRef>
              <c:f>Database!$C$14:$C$20</c:f>
              <c:numCache>
                <c:formatCode>0</c:formatCode>
                <c:ptCount val="7"/>
                <c:pt idx="0">
                  <c:v>5.7142857142857144</c:v>
                </c:pt>
                <c:pt idx="1">
                  <c:v>5.4285714285714288</c:v>
                </c:pt>
                <c:pt idx="2">
                  <c:v>5.7142857142857144</c:v>
                </c:pt>
                <c:pt idx="3">
                  <c:v>3.8571428571428572</c:v>
                </c:pt>
                <c:pt idx="4">
                  <c:v>3.7142857142857144</c:v>
                </c:pt>
                <c:pt idx="5">
                  <c:v>4.2857142857142856</c:v>
                </c:pt>
                <c:pt idx="6">
                  <c:v>4.1428571428571432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BB-47A4-80F2-C80E989B4EF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605489023"/>
        <c:axId val="605507743"/>
      </c:barChart>
      <c:catAx>
        <c:axId val="60548902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05507743"/>
        <c:crosses val="autoZero"/>
        <c:auto val="1"/>
        <c:lblAlgn val="ctr"/>
        <c:lblOffset val="100"/>
        <c:noMultiLvlLbl val="0"/>
      </c:catAx>
      <c:valAx>
        <c:axId val="605507743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6054890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105805</xdr:rowOff>
    </xdr:from>
    <xdr:to>
      <xdr:col>4</xdr:col>
      <xdr:colOff>190500</xdr:colOff>
      <xdr:row>8</xdr:row>
      <xdr:rowOff>143905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200662</xdr:colOff>
      <xdr:row>0</xdr:row>
      <xdr:rowOff>39130</xdr:rowOff>
    </xdr:from>
    <xdr:to>
      <xdr:col>10</xdr:col>
      <xdr:colOff>600712</xdr:colOff>
      <xdr:row>8</xdr:row>
      <xdr:rowOff>123825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077462" y="39130"/>
          <a:ext cx="1619250" cy="1608695"/>
          <a:chOff x="3281362" y="1534380"/>
          <a:chExt cx="4572000" cy="2842357"/>
        </a:xfrm>
      </xdr:grpSpPr>
      <xdr:graphicFrame macro="">
        <xdr:nvGraphicFramePr>
          <xdr:cNvPr id="5" name="Gráfico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GraphicFramePr/>
        </xdr:nvGraphicFramePr>
        <xdr:xfrm>
          <a:off x="3281362" y="1633537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GraphicFramePr/>
        </xdr:nvGraphicFramePr>
        <xdr:xfrm>
          <a:off x="4628276" y="1534380"/>
          <a:ext cx="2068639" cy="168112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>
    <xdr:from>
      <xdr:col>0</xdr:col>
      <xdr:colOff>152400</xdr:colOff>
      <xdr:row>9</xdr:row>
      <xdr:rowOff>57150</xdr:rowOff>
    </xdr:from>
    <xdr:to>
      <xdr:col>9</xdr:col>
      <xdr:colOff>76200</xdr:colOff>
      <xdr:row>21</xdr:row>
      <xdr:rowOff>57150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66993</xdr:colOff>
      <xdr:row>0</xdr:row>
      <xdr:rowOff>105805</xdr:rowOff>
    </xdr:from>
    <xdr:to>
      <xdr:col>13</xdr:col>
      <xdr:colOff>514668</xdr:colOff>
      <xdr:row>8</xdr:row>
      <xdr:rowOff>143905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</xdr:row>
          <xdr:rowOff>123825</xdr:rowOff>
        </xdr:from>
        <xdr:to>
          <xdr:col>19</xdr:col>
          <xdr:colOff>390525</xdr:colOff>
          <xdr:row>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Dweller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590550</xdr:colOff>
      <xdr:row>0</xdr:row>
      <xdr:rowOff>105805</xdr:rowOff>
    </xdr:from>
    <xdr:to>
      <xdr:col>16</xdr:col>
      <xdr:colOff>304800</xdr:colOff>
      <xdr:row>8</xdr:row>
      <xdr:rowOff>142875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3</xdr:row>
          <xdr:rowOff>114300</xdr:rowOff>
        </xdr:from>
        <xdr:to>
          <xdr:col>19</xdr:col>
          <xdr:colOff>390525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Outfit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5</xdr:row>
          <xdr:rowOff>114300</xdr:rowOff>
        </xdr:from>
        <xdr:to>
          <xdr:col>19</xdr:col>
          <xdr:colOff>390525</xdr:colOff>
          <xdr:row>6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Weapon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266381</xdr:colOff>
      <xdr:row>0</xdr:row>
      <xdr:rowOff>105805</xdr:rowOff>
    </xdr:from>
    <xdr:to>
      <xdr:col>8</xdr:col>
      <xdr:colOff>124781</xdr:colOff>
      <xdr:row>8</xdr:row>
      <xdr:rowOff>140605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o de Mendonça Cordeiro" refreshedDate="44323.704043750004" createdVersion="7" refreshedVersion="7" minRefreshableVersion="3" recordCount="45" xr:uid="{AC01A0BA-2C0E-4B80-9868-E1808719CA0A}">
  <cacheSource type="worksheet">
    <worksheetSource name="Dwellers"/>
  </cacheSource>
  <cacheFields count="19">
    <cacheField name="Dweller" numFmtId="0">
      <sharedItems count="46">
        <s v="~Gl. Longfellow"/>
        <s v="~Gl. Tenpenny"/>
        <s v="~Sd. Garry Longfellow"/>
        <s v="~Sd. Jenny L. Graham"/>
        <s v="~Sd. Payne"/>
        <s v="~Sd. Wes Englund"/>
        <s v="~Sd. Young"/>
        <s v="Alice Snyder"/>
        <s v="Axelle Tenpenny"/>
        <s v="Bruce Longfellow"/>
        <s v="Charles Tenpenny"/>
        <s v="David Newton"/>
        <s v="Dorothy Tenpenny"/>
        <s v="Erick Hawkins"/>
        <s v="Eugene W. Payne"/>
        <s v="Gabriel C. Walker"/>
        <s v="Henry Mitchell"/>
        <s v="Jennifer Snyder"/>
        <s v="Joan T. Englund"/>
        <s v="Joana T. Englund"/>
        <s v="Jordan J Y Longfellow"/>
        <s v="Jose Longfellow"/>
        <s v="Jose M Tenpenny"/>
        <s v="Julia C. Walker"/>
        <s v="Julia Tenpenny"/>
        <s v="Julie W. Payne"/>
        <s v="Kevin Mitchell"/>
        <s v="Larry Payne"/>
        <s v="Madison Walker"/>
        <s v="Matthew Hawkins"/>
        <s v="Mr. Green"/>
        <s v="Mr. Snyder"/>
        <s v="Ms. G. J. Green"/>
        <s v="Ms. J. Y. Longfellow"/>
        <s v="Ms. Rose M tenpenny"/>
        <s v="Nicholas Mitchell"/>
        <s v="Nicole Frosts"/>
        <s v="Rebecca D. Hawkins"/>
        <s v="Rebecca L. Graham"/>
        <s v="Richard Hale"/>
        <s v="Russel Green"/>
        <s v="Ruth L. graham"/>
        <s v="Samuel Jones"/>
        <s v="Sean day"/>
        <s v="Vincent Mitchell"/>
        <s v="~Sd. Graham" u="1"/>
      </sharedItems>
    </cacheField>
    <cacheField name="Lvl" numFmtId="0">
      <sharedItems containsSemiMixedTypes="0" containsString="0" containsNumber="1" containsInteger="1" minValue="1" maxValue="50"/>
    </cacheField>
    <cacheField name="S" numFmtId="0">
      <sharedItems containsSemiMixedTypes="0" containsString="0" containsNumber="1" containsInteger="1" minValue="1" maxValue="11"/>
    </cacheField>
    <cacheField name="P" numFmtId="0">
      <sharedItems containsSemiMixedTypes="0" containsString="0" containsNumber="1" containsInteger="1" minValue="1" maxValue="17"/>
    </cacheField>
    <cacheField name="E" numFmtId="0">
      <sharedItems containsSemiMixedTypes="0" containsString="0" containsNumber="1" containsInteger="1" minValue="1" maxValue="11"/>
    </cacheField>
    <cacheField name="C" numFmtId="0">
      <sharedItems containsSemiMixedTypes="0" containsString="0" containsNumber="1" containsInteger="1" minValue="1" maxValue="15"/>
    </cacheField>
    <cacheField name="I" numFmtId="0">
      <sharedItems containsSemiMixedTypes="0" containsString="0" containsNumber="1" containsInteger="1" minValue="1" maxValue="13"/>
    </cacheField>
    <cacheField name="A" numFmtId="0">
      <sharedItems containsSemiMixedTypes="0" containsString="0" containsNumber="1" containsInteger="1" minValue="1" maxValue="22"/>
    </cacheField>
    <cacheField name="L" numFmtId="0">
      <sharedItems containsSemiMixedTypes="0" containsString="0" containsNumber="1" containsInteger="1" minValue="1" maxValue="10"/>
    </cacheField>
    <cacheField name="Job" numFmtId="0">
      <sharedItems/>
    </cacheField>
    <cacheField name="Outfit" numFmtId="0">
      <sharedItems/>
    </cacheField>
    <cacheField name="Weapon" numFmtId="0">
      <sharedItems/>
    </cacheField>
    <cacheField name="Relationship" numFmtId="0">
      <sharedItems containsBlank="1"/>
    </cacheField>
    <cacheField name="Father" numFmtId="0">
      <sharedItems containsBlank="1"/>
    </cacheField>
    <cacheField name="Mother" numFmtId="0">
      <sharedItems containsBlank="1"/>
    </cacheField>
    <cacheField name="Genre" numFmtId="0">
      <sharedItems/>
    </cacheField>
    <cacheField name="Stats average" numFmtId="0">
      <sharedItems containsSemiMixedTypes="0" containsString="0" containsNumber="1" containsInteger="1" minValue="1" maxValue="9"/>
    </cacheField>
    <cacheField name="Strong" numFmtId="0">
      <sharedItems/>
    </cacheField>
    <cacheField name="StatsBuild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o de Mendonça Cordeiro" refreshedDate="44323.704043865742" createdVersion="7" refreshedVersion="7" minRefreshableVersion="3" recordCount="20" xr:uid="{AA56369D-B50C-4084-9A0C-C565B4FB127D}">
  <cacheSource type="worksheet">
    <worksheetSource name="Jobs"/>
  </cacheSource>
  <cacheFields count="6">
    <cacheField name="Job" numFmtId="0">
      <sharedItems count="21">
        <s v="Arcade"/>
        <s v="Athletics Studio"/>
        <s v="Bar (Charism Improvment)"/>
        <s v="Cafeteria"/>
        <s v="Exploring"/>
        <s v="Fitness Studio"/>
        <s v="Fortified Vault Door"/>
        <s v="Hospital"/>
        <s v="Overseer's Control Station"/>
        <s v="Power Plant 1"/>
        <s v="Power Plant 2"/>
        <s v="Radio Studio"/>
        <s v="Residence 1"/>
        <s v="Residence 2"/>
        <s v="School"/>
        <s v="Science Station"/>
        <s v="Strength Center"/>
        <s v="Water Treatment"/>
        <s v="Weapon Factory"/>
        <s v="Weapons Station"/>
        <s v="Dinner Room" u="1"/>
      </sharedItems>
    </cacheField>
    <cacheField name="MaxDwellers" numFmtId="0">
      <sharedItems containsMixedTypes="1" containsNumber="1" containsInteger="1" minValue="2" maxValue="6"/>
    </cacheField>
    <cacheField name="AssignedDwellers" numFmtId="0">
      <sharedItems containsSemiMixedTypes="0" containsString="0" containsNumber="1" containsInteger="1" minValue="0" maxValue="7"/>
    </cacheField>
    <cacheField name="Production" numFmtId="0">
      <sharedItems containsBlank="1" containsMixedTypes="1" containsNumber="1" containsInteger="1" minValue="6" maxValue="66"/>
    </cacheField>
    <cacheField name="Storage" numFmtId="0">
      <sharedItems containsBlank="1" containsMixedTypes="1" containsNumber="1" containsInteger="1" minValue="25" maxValue="300"/>
    </cacheField>
    <cacheField name="Attribut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">
  <r>
    <x v="0"/>
    <n v="50"/>
    <n v="7"/>
    <n v="7"/>
    <n v="10"/>
    <n v="6"/>
    <n v="6"/>
    <n v="4"/>
    <n v="9"/>
    <s v="Strength Center"/>
    <s v="Tattered Longcoat"/>
    <s v="Focused Gatling Laser"/>
    <s v="Ms. J. Y. Longfellow"/>
    <s v="-"/>
    <s v="-"/>
    <s v="male"/>
    <n v="7"/>
    <s v="10 E"/>
    <s v=""/>
  </r>
  <r>
    <x v="1"/>
    <n v="50"/>
    <n v="7"/>
    <n v="11"/>
    <n v="2"/>
    <n v="11"/>
    <n v="9"/>
    <n v="2"/>
    <n v="10"/>
    <s v="Overseer's Control Station"/>
    <s v="Tenpenny's Suit"/>
    <s v="Rusty Gauss Rifle"/>
    <m/>
    <m/>
    <m/>
    <s v="male"/>
    <n v="9"/>
    <s v="11 P"/>
    <s v=""/>
  </r>
  <r>
    <x v="2"/>
    <n v="12"/>
    <n v="4"/>
    <n v="1"/>
    <n v="5"/>
    <n v="1"/>
    <n v="2"/>
    <n v="10"/>
    <n v="1"/>
    <s v="Fitness Studio"/>
    <s v="Battle Armor"/>
    <s v="Enhanced Sniper Rifle"/>
    <m/>
    <s v="~Gl. Longfellow"/>
    <s v="Ms. J. Y. Longfellow"/>
    <s v="male"/>
    <n v="2"/>
    <s v="10 A"/>
    <s v=""/>
  </r>
  <r>
    <x v="3"/>
    <n v="33"/>
    <n v="2"/>
    <n v="3"/>
    <n v="5"/>
    <n v="2"/>
    <n v="1"/>
    <n v="5"/>
    <n v="2"/>
    <s v="Exploring"/>
    <s v="Merc Gear 1"/>
    <s v="Henrietta"/>
    <s v="~Sd. Graham"/>
    <s v="-"/>
    <s v="-"/>
    <s v="female"/>
    <n v="2"/>
    <s v="5 E"/>
    <s v=""/>
  </r>
  <r>
    <x v="4"/>
    <n v="26"/>
    <n v="8"/>
    <n v="9"/>
    <n v="2"/>
    <n v="3"/>
    <n v="2"/>
    <n v="1"/>
    <n v="2"/>
    <s v="Weapons Station"/>
    <s v="Knight Armor"/>
    <s v="Enhanced Combat Shotgun"/>
    <m/>
    <m/>
    <m/>
    <s v="male"/>
    <n v="2"/>
    <s v="9 P"/>
    <s v=""/>
  </r>
  <r>
    <x v="5"/>
    <n v="25"/>
    <n v="10"/>
    <n v="2"/>
    <n v="11"/>
    <n v="3"/>
    <n v="4"/>
    <n v="6"/>
    <n v="4"/>
    <s v="Fitness Studio"/>
    <s v="Horror Fan Outfit"/>
    <s v="Laser Rifle"/>
    <s v="Joan T. Englund"/>
    <m/>
    <m/>
    <s v="male"/>
    <n v="4"/>
    <s v="11 E"/>
    <s v=""/>
  </r>
  <r>
    <x v="6"/>
    <n v="25"/>
    <n v="2"/>
    <n v="5"/>
    <n v="5"/>
    <n v="1"/>
    <n v="2"/>
    <n v="2"/>
    <n v="1"/>
    <s v="Fortified Vault Door"/>
    <s v="Armored Vault suit"/>
    <s v="Hardened Flamer"/>
    <s v="-"/>
    <s v="-"/>
    <s v="-"/>
    <s v="male"/>
    <n v="2"/>
    <s v="5 P"/>
    <s v=""/>
  </r>
  <r>
    <x v="7"/>
    <n v="13"/>
    <n v="11"/>
    <n v="1"/>
    <n v="1"/>
    <n v="2"/>
    <n v="2"/>
    <n v="2"/>
    <n v="7"/>
    <s v="Arcade"/>
    <s v="Country Girl"/>
    <s v="Hardened Hunting Rifle"/>
    <s v="Mr. Snyder"/>
    <m/>
    <m/>
    <s v="female"/>
    <n v="2"/>
    <s v="11 S"/>
    <b v="0"/>
  </r>
  <r>
    <x v="8"/>
    <n v="12"/>
    <n v="3"/>
    <n v="2"/>
    <n v="2"/>
    <n v="5"/>
    <n v="3"/>
    <n v="5"/>
    <n v="2"/>
    <s v="Cafeteria"/>
    <s v="Initiate Robe"/>
    <s v="Rusty Laser Pistol"/>
    <m/>
    <s v="~Gl. Tenpenny"/>
    <s v="Ms. Rose M. Tenpenny"/>
    <s v="female"/>
    <n v="3"/>
    <s v="5 C"/>
    <b v="0"/>
  </r>
  <r>
    <x v="9"/>
    <n v="1"/>
    <n v="2"/>
    <n v="1"/>
    <n v="3"/>
    <n v="15"/>
    <n v="1"/>
    <n v="1"/>
    <n v="2"/>
    <s v="Radio Studio"/>
    <s v="Naughty Nightwear"/>
    <s v="Enhanced Sawed-Off Shotgun"/>
    <m/>
    <s v="~Gl. Longfellow"/>
    <s v="Ms. J. Y. Longfellow"/>
    <s v="male"/>
    <n v="2"/>
    <s v="15 C"/>
    <b v="1"/>
  </r>
  <r>
    <x v="10"/>
    <n v="1"/>
    <n v="1"/>
    <n v="1"/>
    <n v="1"/>
    <n v="7"/>
    <n v="2"/>
    <n v="2"/>
    <n v="3"/>
    <s v="Bar (Charism Improvment)"/>
    <s v="Clergy Outfit"/>
    <s v="Rusty 10mm Pistol"/>
    <m/>
    <s v="~Gl. Tenpenny"/>
    <s v="Ms. Rose M Tenpenny"/>
    <s v="male"/>
    <n v="2"/>
    <s v="7 C"/>
    <s v=""/>
  </r>
  <r>
    <x v="11"/>
    <n v="7"/>
    <n v="7"/>
    <n v="3"/>
    <n v="4"/>
    <n v="5"/>
    <n v="4"/>
    <n v="3"/>
    <n v="2"/>
    <s v="Power Plant 2"/>
    <s v="Sci-Fi Fan Outfit"/>
    <s v="Rusty Hunting Rifle"/>
    <m/>
    <m/>
    <m/>
    <s v="male"/>
    <n v="4"/>
    <s v="7 S"/>
    <b v="1"/>
  </r>
  <r>
    <x v="12"/>
    <n v="15"/>
    <n v="8"/>
    <n v="1"/>
    <n v="2"/>
    <n v="3"/>
    <n v="2"/>
    <n v="1"/>
    <n v="1"/>
    <s v="Power Plant 1"/>
    <s v="Military Fatigues"/>
    <s v="Rusty Sawed-Off Shotgun"/>
    <m/>
    <s v="~Gl. Tenpenny"/>
    <s v="Ms. Rose M Tenpenny"/>
    <s v="female"/>
    <n v="2"/>
    <s v="8 S"/>
    <b v="1"/>
  </r>
  <r>
    <x v="13"/>
    <n v="20"/>
    <n v="7"/>
    <n v="1"/>
    <n v="2"/>
    <n v="2"/>
    <n v="1"/>
    <n v="1"/>
    <n v="2"/>
    <s v="Power Plant 2"/>
    <s v="Mayor Outfit"/>
    <s v="Tuned  Plasma Pistol"/>
    <m/>
    <m/>
    <m/>
    <s v="male"/>
    <n v="2"/>
    <s v="7 S"/>
    <b v="1"/>
  </r>
  <r>
    <x v="14"/>
    <n v="11"/>
    <n v="2"/>
    <n v="2"/>
    <n v="1"/>
    <n v="1"/>
    <n v="1"/>
    <n v="2"/>
    <n v="3"/>
    <s v="Cafeteria"/>
    <s v="Sturdy Raider Armor"/>
    <s v="Enhanced Hunting Rifle"/>
    <m/>
    <s v="~Sd. Payne"/>
    <s v="Julie W. Payne"/>
    <s v="male"/>
    <n v="2"/>
    <s v="3 L"/>
    <b v="0"/>
  </r>
  <r>
    <x v="15"/>
    <n v="3"/>
    <n v="4"/>
    <n v="1"/>
    <n v="3"/>
    <n v="1"/>
    <n v="3"/>
    <n v="1"/>
    <n v="2"/>
    <s v="Weapon Factory"/>
    <s v="Battle Armor"/>
    <s v="Enhanced Sawed-Off Shotgun"/>
    <m/>
    <s v="~Sd. Walker"/>
    <s v="Julia C. Walker"/>
    <s v="male"/>
    <n v="2"/>
    <s v="4 S"/>
    <b v="0"/>
  </r>
  <r>
    <x v="16"/>
    <n v="18"/>
    <n v="2"/>
    <n v="5"/>
    <n v="1"/>
    <n v="2"/>
    <n v="1"/>
    <n v="1"/>
    <n v="3"/>
    <s v="Water treatment"/>
    <s v="Armored Vault suit"/>
    <s v="Rusty Sawed-Off Shotgun"/>
    <m/>
    <m/>
    <m/>
    <s v="male"/>
    <n v="2"/>
    <s v="5 P"/>
    <b v="0"/>
  </r>
  <r>
    <x v="17"/>
    <n v="12"/>
    <n v="6"/>
    <n v="1"/>
    <n v="1"/>
    <n v="1"/>
    <n v="2"/>
    <n v="4"/>
    <n v="2"/>
    <s v="Power Plant 1"/>
    <s v="Sturdy Combat Armor"/>
    <s v="Hunting Rifle"/>
    <m/>
    <s v="Mr. Snyder"/>
    <s v="Alice Snyder"/>
    <s v="female"/>
    <n v="2"/>
    <s v="6 S"/>
    <b v="1"/>
  </r>
  <r>
    <x v="18"/>
    <n v="19"/>
    <n v="1"/>
    <n v="1"/>
    <n v="2"/>
    <n v="2"/>
    <n v="11"/>
    <n v="2"/>
    <n v="1"/>
    <s v="School"/>
    <s v="Lab Coat"/>
    <s v="Hunting Rifle"/>
    <s v="~Sd. Wes Englund"/>
    <s v="~Gl. Tenpenny"/>
    <m/>
    <s v="female"/>
    <n v="2"/>
    <s v="11 I"/>
    <s v=""/>
  </r>
  <r>
    <x v="19"/>
    <n v="7"/>
    <n v="2"/>
    <n v="2"/>
    <n v="3"/>
    <n v="2"/>
    <n v="5"/>
    <n v="1"/>
    <n v="2"/>
    <s v="Science Station"/>
    <s v="Engineer Outfit"/>
    <s v="Fist"/>
    <m/>
    <s v="~Sd. Wes Englund"/>
    <s v="Joan T. Englund"/>
    <s v="female"/>
    <n v="2"/>
    <s v="5 I"/>
    <b v="1"/>
  </r>
  <r>
    <x v="20"/>
    <n v="10"/>
    <n v="4"/>
    <n v="2"/>
    <n v="4"/>
    <n v="3"/>
    <n v="2"/>
    <n v="4"/>
    <n v="3"/>
    <s v="Power Plant 2"/>
    <s v="Combat Armor"/>
    <s v="Enhanced Sawed-Off Shotgun"/>
    <m/>
    <s v="~Gl. Longfellow"/>
    <s v="Ms. J. Y. Longfellow"/>
    <s v="male"/>
    <n v="3"/>
    <s v="4 S"/>
    <b v="1"/>
  </r>
  <r>
    <x v="21"/>
    <n v="11"/>
    <n v="5"/>
    <n v="2"/>
    <n v="3"/>
    <n v="4"/>
    <n v="2"/>
    <n v="4"/>
    <n v="2"/>
    <s v="Power Plant 1"/>
    <s v="Combat Armor"/>
    <s v="Pipe Rifle"/>
    <m/>
    <s v="~Gl. Longfellow"/>
    <s v="Ms. J. Y. Longfellow"/>
    <s v="male"/>
    <n v="3"/>
    <s v="5 S"/>
    <b v="1"/>
  </r>
  <r>
    <x v="22"/>
    <n v="10"/>
    <n v="2"/>
    <n v="1"/>
    <n v="2"/>
    <n v="1"/>
    <n v="1"/>
    <n v="13"/>
    <n v="3"/>
    <s v="Cafeteria"/>
    <s v="Handyman Jumpsuiut"/>
    <s v="Enhanced Sawed-Off Shotgun"/>
    <m/>
    <s v="~Gl. Tenpenny"/>
    <s v="Ms. Rose M Tenpenny"/>
    <s v="male"/>
    <n v="2"/>
    <s v="13 A"/>
    <b v="1"/>
  </r>
  <r>
    <x v="23"/>
    <n v="20"/>
    <n v="2"/>
    <n v="1"/>
    <n v="1"/>
    <n v="2"/>
    <n v="8"/>
    <n v="2"/>
    <n v="1"/>
    <s v="Hospital"/>
    <s v="Advanced Lab Coat"/>
    <s v="Rusty Laser Pistol"/>
    <s v="~Sd. Walker"/>
    <s v="-"/>
    <s v="-"/>
    <s v="female"/>
    <n v="2"/>
    <s v="8 I"/>
    <b v="1"/>
  </r>
  <r>
    <x v="24"/>
    <n v="8"/>
    <n v="1"/>
    <n v="2"/>
    <n v="2"/>
    <n v="1"/>
    <n v="2"/>
    <n v="3"/>
    <n v="1"/>
    <s v="Cafeteria"/>
    <s v="Sturdy Raider Armor"/>
    <s v="Hunting Rifle"/>
    <m/>
    <s v="~Gl. Tenpenny"/>
    <s v="Ms. Rose M. Tenpenny"/>
    <s v="female"/>
    <n v="2"/>
    <s v="3 A"/>
    <b v="1"/>
  </r>
  <r>
    <x v="25"/>
    <n v="10"/>
    <n v="2"/>
    <n v="2"/>
    <n v="2"/>
    <n v="3"/>
    <n v="11"/>
    <n v="3"/>
    <n v="4"/>
    <s v="School"/>
    <s v="Lab Coat"/>
    <s v="Rusty Laser Pistol"/>
    <s v="~Sd. Payne"/>
    <m/>
    <m/>
    <s v="female"/>
    <n v="3"/>
    <s v="11 I"/>
    <s v=""/>
  </r>
  <r>
    <x v="26"/>
    <n v="19"/>
    <n v="5"/>
    <n v="1"/>
    <n v="1"/>
    <n v="3"/>
    <n v="1"/>
    <n v="2"/>
    <n v="2"/>
    <s v="Power Plant 1"/>
    <s v="Military Fatigues"/>
    <s v="Enhanced Sawed-Off Shotgun"/>
    <m/>
    <m/>
    <m/>
    <s v="male"/>
    <n v="2"/>
    <s v="5 S"/>
    <b v="1"/>
  </r>
  <r>
    <x v="27"/>
    <n v="15"/>
    <n v="1"/>
    <n v="2"/>
    <n v="2"/>
    <n v="2"/>
    <n v="1"/>
    <n v="2"/>
    <n v="2"/>
    <s v="Cafeteria"/>
    <s v="Sci-Fi Fan Outfit"/>
    <s v="Enhanced Hunting Rifle"/>
    <m/>
    <s v="~Sd. Payne"/>
    <s v="Julie W. Payne"/>
    <s v="male"/>
    <n v="2"/>
    <s v="2 P"/>
    <b v="0"/>
  </r>
  <r>
    <x v="28"/>
    <n v="9"/>
    <n v="2"/>
    <n v="1"/>
    <n v="1"/>
    <n v="4"/>
    <n v="13"/>
    <n v="1"/>
    <n v="2"/>
    <s v="Hospital"/>
    <s v="Officer Uniform"/>
    <s v="Hunting Rifle"/>
    <s v="-"/>
    <s v="~Sd. Walker"/>
    <s v="Julia C. Walker"/>
    <s v="female"/>
    <n v="2"/>
    <s v="13 I"/>
    <b v="1"/>
  </r>
  <r>
    <x v="29"/>
    <n v="8"/>
    <n v="2"/>
    <n v="2"/>
    <n v="2"/>
    <n v="1"/>
    <n v="1"/>
    <n v="1"/>
    <n v="3"/>
    <s v="Water treatment"/>
    <s v="Sturdy Raider Armor"/>
    <s v="Scoped .44"/>
    <m/>
    <s v="Erick Hawkins"/>
    <s v="Rebecca D. Hawkins"/>
    <s v="male"/>
    <n v="2"/>
    <s v="3 L"/>
    <b v="0"/>
  </r>
  <r>
    <x v="30"/>
    <n v="16"/>
    <n v="1"/>
    <n v="11"/>
    <n v="2"/>
    <n v="1"/>
    <n v="2"/>
    <n v="2"/>
    <n v="2"/>
    <s v="Water treatment"/>
    <s v="Accountant Outfit"/>
    <s v="Rusty Hunting Rifle"/>
    <s v="Ms. G. J. Green"/>
    <m/>
    <m/>
    <s v="male"/>
    <n v="2"/>
    <s v="11 P"/>
    <b v="0"/>
  </r>
  <r>
    <x v="31"/>
    <n v="20"/>
    <n v="7"/>
    <n v="3"/>
    <n v="1"/>
    <n v="1"/>
    <n v="1"/>
    <n v="2"/>
    <n v="3"/>
    <s v="Power Plant 1"/>
    <s v="Merc Gear 1"/>
    <s v="Victory Rifle"/>
    <s v="Alice Snyder"/>
    <m/>
    <m/>
    <s v="male"/>
    <n v="2"/>
    <s v="7 S"/>
    <b v="1"/>
  </r>
  <r>
    <x v="32"/>
    <n v="17"/>
    <n v="1"/>
    <n v="17"/>
    <n v="1"/>
    <n v="1"/>
    <n v="2"/>
    <n v="2"/>
    <n v="1"/>
    <s v="Water treatment"/>
    <s v="Heavy vault suit"/>
    <s v="Enhanced 10mm Pistol"/>
    <s v="Mr. Green"/>
    <m/>
    <m/>
    <s v="female"/>
    <n v="1"/>
    <s v="17 P"/>
    <b v="0"/>
  </r>
  <r>
    <x v="33"/>
    <n v="5"/>
    <n v="2"/>
    <n v="2"/>
    <n v="2"/>
    <n v="15"/>
    <n v="1"/>
    <n v="2"/>
    <n v="1"/>
    <s v="Radio Studio"/>
    <s v="Naughty Nightwear"/>
    <s v="Hunting Rifle"/>
    <s v="~Gl. Longfellow"/>
    <m/>
    <m/>
    <s v="female"/>
    <n v="2"/>
    <s v="15 C"/>
    <b v="1"/>
  </r>
  <r>
    <x v="34"/>
    <n v="16"/>
    <n v="2"/>
    <n v="1"/>
    <n v="2"/>
    <n v="3"/>
    <n v="1"/>
    <n v="11"/>
    <n v="1"/>
    <s v="Cafeteria"/>
    <s v="Waitress Uniform"/>
    <s v="Enhanced Sawed-Off Shotgun"/>
    <s v="~Gl. Tenpenny"/>
    <m/>
    <m/>
    <s v="female"/>
    <n v="2"/>
    <s v="11 A"/>
    <b v="1"/>
  </r>
  <r>
    <x v="35"/>
    <n v="14"/>
    <n v="1"/>
    <n v="8"/>
    <n v="2"/>
    <n v="5"/>
    <n v="2"/>
    <n v="1"/>
    <n v="2"/>
    <s v="Water treatment"/>
    <s v="Medieval Ruler Outfit"/>
    <s v="Enhanced Lever-Action Rifle"/>
    <m/>
    <m/>
    <m/>
    <s v="male"/>
    <n v="2"/>
    <s v="8 P"/>
    <b v="0"/>
  </r>
  <r>
    <x v="36"/>
    <n v="14"/>
    <n v="2"/>
    <n v="11"/>
    <n v="1"/>
    <n v="1"/>
    <n v="2"/>
    <n v="22"/>
    <n v="2"/>
    <s v="Weapons Station"/>
    <s v="Wasteland Medic"/>
    <s v="Enhanced Lever-Action Rifle"/>
    <m/>
    <m/>
    <m/>
    <s v="female"/>
    <n v="2"/>
    <s v="22 A"/>
    <s v=""/>
  </r>
  <r>
    <x v="37"/>
    <n v="19"/>
    <n v="2"/>
    <n v="2"/>
    <n v="1"/>
    <n v="5"/>
    <n v="7"/>
    <n v="1"/>
    <n v="1"/>
    <s v="Science Station"/>
    <s v="Commander Uniform"/>
    <s v="Enhanced Sniper Rifle"/>
    <s v="Eric Hawkins"/>
    <m/>
    <m/>
    <s v="female"/>
    <n v="2"/>
    <s v="7 I"/>
    <b v="1"/>
  </r>
  <r>
    <x v="38"/>
    <n v="1"/>
    <n v="1"/>
    <n v="1"/>
    <n v="2"/>
    <n v="5"/>
    <n v="1"/>
    <n v="2"/>
    <n v="3"/>
    <s v="Bar (Charism Improvment)"/>
    <s v="Nightwear"/>
    <s v="Enhanced Hunting Rifle"/>
    <s v="-"/>
    <s v="~Sd. Graham"/>
    <s v="~Sd. Jenny L. Graham"/>
    <s v="female"/>
    <n v="2"/>
    <s v="5 C"/>
    <s v=""/>
  </r>
  <r>
    <x v="39"/>
    <n v="19"/>
    <n v="1"/>
    <n v="1"/>
    <n v="1"/>
    <n v="1"/>
    <n v="2"/>
    <n v="8"/>
    <n v="2"/>
    <s v="Cafeteria"/>
    <s v="Handyman Jumpsuiut"/>
    <s v="Enhanced Hunting Rifle"/>
    <m/>
    <m/>
    <m/>
    <s v="male"/>
    <n v="1"/>
    <s v="8 A"/>
    <b v="1"/>
  </r>
  <r>
    <x v="40"/>
    <n v="8"/>
    <n v="2"/>
    <n v="4"/>
    <n v="2"/>
    <n v="2"/>
    <n v="1"/>
    <n v="2"/>
    <n v="2"/>
    <s v="Water treatment"/>
    <s v="Merc Gear 1"/>
    <s v="Sawed-Off Shotgun"/>
    <m/>
    <s v="Mr. Green"/>
    <s v="Ms. Green"/>
    <s v="male"/>
    <n v="2"/>
    <s v="4 P"/>
    <b v="0"/>
  </r>
  <r>
    <x v="41"/>
    <n v="13"/>
    <n v="5"/>
    <n v="2"/>
    <n v="5"/>
    <n v="3"/>
    <n v="3"/>
    <n v="2"/>
    <n v="2"/>
    <s v="Power Plant 1"/>
    <s v="Battle Armor"/>
    <s v="Enhanced Lever-Action Rifle"/>
    <m/>
    <s v="~Sd. Graham"/>
    <s v="~Sd. Jenny L. Graham"/>
    <s v="female"/>
    <n v="3"/>
    <s v="5 S"/>
    <b v="1"/>
  </r>
  <r>
    <x v="42"/>
    <n v="17"/>
    <n v="2"/>
    <n v="4"/>
    <n v="2"/>
    <n v="2"/>
    <n v="1"/>
    <n v="2"/>
    <n v="2"/>
    <s v="Power Plant 2"/>
    <s v="Merc Gear 1"/>
    <s v="Enhanced 10mm Pistol"/>
    <m/>
    <m/>
    <m/>
    <s v="male"/>
    <n v="2"/>
    <s v="4 P"/>
    <b v="0"/>
  </r>
  <r>
    <x v="43"/>
    <n v="19"/>
    <n v="3"/>
    <n v="8"/>
    <n v="5"/>
    <n v="6"/>
    <n v="2"/>
    <n v="3"/>
    <n v="4"/>
    <s v="Water treatment"/>
    <s v="Radiation Suit"/>
    <s v="Lever-Action Rifle"/>
    <m/>
    <m/>
    <m/>
    <s v="male"/>
    <n v="4"/>
    <s v="8 P"/>
    <b v="0"/>
  </r>
  <r>
    <x v="44"/>
    <n v="10"/>
    <n v="1"/>
    <n v="2"/>
    <n v="2"/>
    <n v="1"/>
    <n v="2"/>
    <n v="10"/>
    <n v="4"/>
    <s v="Athletics Studio"/>
    <s v="Merc Gear 1"/>
    <s v="Enhanced Hunting Rifle"/>
    <m/>
    <m/>
    <m/>
    <s v="male"/>
    <n v="2"/>
    <s v="10 A"/>
    <s v="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n v="6"/>
    <n v="1"/>
    <m/>
    <m/>
    <m/>
  </r>
  <r>
    <x v="1"/>
    <n v="2"/>
    <n v="1"/>
    <m/>
    <m/>
    <s v="-"/>
  </r>
  <r>
    <x v="2"/>
    <n v="2"/>
    <n v="2"/>
    <s v="-"/>
    <s v="-"/>
    <s v="-"/>
  </r>
  <r>
    <x v="3"/>
    <n v="6"/>
    <n v="7"/>
    <m/>
    <m/>
    <s v="A"/>
  </r>
  <r>
    <x v="4"/>
    <s v="-"/>
    <n v="1"/>
    <s v="-"/>
    <s v="-"/>
    <s v="-"/>
  </r>
  <r>
    <x v="5"/>
    <n v="2"/>
    <n v="2"/>
    <m/>
    <m/>
    <s v="-"/>
  </r>
  <r>
    <x v="6"/>
    <n v="2"/>
    <n v="1"/>
    <s v="-"/>
    <s v="-"/>
    <s v="-"/>
  </r>
  <r>
    <x v="7"/>
    <n v="4"/>
    <n v="2"/>
    <n v="9"/>
    <n v="25"/>
    <s v="I"/>
  </r>
  <r>
    <x v="8"/>
    <n v="6"/>
    <n v="1"/>
    <s v="-"/>
    <s v="-"/>
    <s v="-"/>
  </r>
  <r>
    <x v="9"/>
    <n v="6"/>
    <n v="6"/>
    <n v="66"/>
    <n v="300"/>
    <s v="S"/>
  </r>
  <r>
    <x v="10"/>
    <n v="4"/>
    <n v="4"/>
    <n v="31"/>
    <n v="200"/>
    <s v="S"/>
  </r>
  <r>
    <x v="11"/>
    <n v="4"/>
    <n v="2"/>
    <s v="-"/>
    <s v="-"/>
    <s v="C"/>
  </r>
  <r>
    <x v="12"/>
    <n v="4"/>
    <n v="0"/>
    <m/>
    <m/>
    <s v="C"/>
  </r>
  <r>
    <x v="13"/>
    <n v="6"/>
    <n v="0"/>
    <m/>
    <m/>
    <m/>
  </r>
  <r>
    <x v="14"/>
    <n v="2"/>
    <n v="2"/>
    <m/>
    <m/>
    <s v="-"/>
  </r>
  <r>
    <x v="15"/>
    <n v="4"/>
    <n v="2"/>
    <n v="6"/>
    <n v="25"/>
    <s v="I"/>
  </r>
  <r>
    <x v="16"/>
    <n v="2"/>
    <n v="1"/>
    <m/>
    <m/>
    <s v="-"/>
  </r>
  <r>
    <x v="17"/>
    <n v="6"/>
    <n v="7"/>
    <m/>
    <m/>
    <m/>
  </r>
  <r>
    <x v="18"/>
    <n v="6"/>
    <n v="1"/>
    <m/>
    <m/>
    <m/>
  </r>
  <r>
    <x v="19"/>
    <n v="2"/>
    <n v="2"/>
    <m/>
    <m/>
    <s v="-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D20606-1001-4F6B-ABDB-53A6075C7F5D}" name="Jobs" cacheId="49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3">
  <location ref="K1:M22" firstHeaderRow="0" firstDataRow="1" firstDataCol="1"/>
  <pivotFields count="6">
    <pivotField axis="axisRow" showAll="0" sortType="ascending">
      <items count="22">
        <item x="0"/>
        <item x="1"/>
        <item x="2"/>
        <item x="3"/>
        <item m="1" x="20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dataField="1" showAll="0"/>
    <pivotField dataField="1" showAll="0"/>
    <pivotField showAll="0"/>
    <pivotField showAll="0"/>
    <pivotField showAll="0"/>
  </pivotFields>
  <rowFields count="1">
    <field x="0"/>
  </rowFields>
  <rowItems count="21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axDwellers" fld="1" baseField="0" baseItem="0"/>
    <dataField name="Soma de AssignedDwellers" fld="2" baseField="0" baseItem="0"/>
  </dataFields>
  <chartFormats count="2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F587E2-3DE1-46F3-8114-CBC5DEB94102}" name="ArmySpecialsAverage" cacheId="46" dataOnRows="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35">
  <location ref="B13:C20" firstHeaderRow="1" firstDataRow="1" firstDataCol="1" rowPageCount="1" colPageCount="1"/>
  <pivotFields count="19">
    <pivotField axis="axisPage" multipleItemSelectionAllowed="1" showAll="0">
      <items count="47">
        <item x="0"/>
        <item x="2"/>
        <item m="1" x="45"/>
        <item x="3"/>
        <item x="6"/>
        <item h="1" x="19"/>
        <item h="1" x="23"/>
        <item h="1" x="28"/>
        <item h="1" x="37"/>
        <item h="1" x="38"/>
        <item x="1"/>
        <item h="1" x="33"/>
        <item h="1" x="9"/>
        <item h="1" x="10"/>
        <item h="1" x="44"/>
        <item x="4"/>
        <item h="1" x="36"/>
        <item h="1" x="25"/>
        <item h="1" x="18"/>
        <item x="5"/>
        <item h="1" x="15"/>
        <item h="1" x="21"/>
        <item h="1" x="41"/>
        <item h="1" x="26"/>
        <item h="1" x="31"/>
        <item h="1" x="17"/>
        <item h="1" x="12"/>
        <item h="1" x="11"/>
        <item h="1" x="20"/>
        <item h="1" x="42"/>
        <item h="1" x="13"/>
        <item h="1" x="14"/>
        <item h="1" x="24"/>
        <item h="1" x="8"/>
        <item h="1" x="39"/>
        <item h="1" x="34"/>
        <item h="1" x="22"/>
        <item h="1" x="40"/>
        <item h="1" x="30"/>
        <item h="1" x="32"/>
        <item h="1" x="35"/>
        <item h="1" x="43"/>
        <item h="1" x="16"/>
        <item h="1" x="7"/>
        <item h="1" x="27"/>
        <item h="1" x="29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-2"/>
  </rowFields>
  <row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rowItems>
  <colItems count="1">
    <i/>
  </colItems>
  <pageFields count="1">
    <pageField fld="0" hier="-1"/>
  </pageFields>
  <dataFields count="7">
    <dataField name="strength" fld="2" subtotal="average" baseField="0" baseItem="0"/>
    <dataField name="Perception" fld="3" subtotal="average" baseField="0" baseItem="0"/>
    <dataField name="Endurance" fld="4" subtotal="average" baseField="0" baseItem="0"/>
    <dataField name="Charisma" fld="5" subtotal="average" baseField="0" baseItem="0"/>
    <dataField name="Intelligence" fld="6" subtotal="average" baseField="0" baseItem="0"/>
    <dataField name="Agility" fld="7" subtotal="average" baseField="0" baseItem="0"/>
    <dataField name="Lucky" fld="8" subtotal="average" baseField="0" baseItem="0"/>
  </dataFields>
  <formats count="2">
    <format dxfId="13">
      <pivotArea collapsedLevelsAreSubtotals="1" fieldPosition="0">
        <references count="1">
          <reference field="4294967294" count="1">
            <x v="1"/>
          </reference>
        </references>
      </pivotArea>
    </format>
    <format dxfId="12">
      <pivotArea outline="0" collapsedLevelsAreSubtotals="1" fieldPosition="0"/>
    </format>
  </formats>
  <chartFormats count="1">
    <chartFormat chart="3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5B22DF9-B4B8-4B1E-8B60-C1B206590451}" name="Jobs" displayName="Jobs" ref="A1:F21" totalsRowShown="0">
  <autoFilter ref="A1:F21" xr:uid="{FD3AC5A5-C673-4329-A9CF-02FA12C6819A}"/>
  <sortState xmlns:xlrd2="http://schemas.microsoft.com/office/spreadsheetml/2017/richdata2" ref="A2:F21">
    <sortCondition ref="A1:A21"/>
    <sortCondition ref="A1:A21"/>
  </sortState>
  <tableColumns count="6">
    <tableColumn id="1" xr3:uid="{2F28F6EB-2790-4FCD-B5E8-60083141A7E8}" name="Job"/>
    <tableColumn id="2" xr3:uid="{17F108EC-BA1F-487E-A4F3-423E5FC2C509}" name="MaxDwellers"/>
    <tableColumn id="3" xr3:uid="{65AC6823-CB77-4AE0-8FE0-E45EC7AC9F33}" name="AssignedDwellers" dataDxfId="11">
      <calculatedColumnFormula>COUNTIFS(Dwellers[Job],$A2)</calculatedColumnFormula>
    </tableColumn>
    <tableColumn id="4" xr3:uid="{EC9431EC-9D3C-46F2-804D-3EC421AB8206}" name="Production"/>
    <tableColumn id="5" xr3:uid="{3B4B9236-C12C-45A7-BA12-7A065B37066F}" name="Storage"/>
    <tableColumn id="6" xr3:uid="{D085CB11-630C-4274-98B8-776DCAABCCAB}" name="Attribute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0B27E2-35E3-42FB-8723-253DA159EC38}" name="Dwellers" displayName="Dwellers" ref="A1:S46" totalsRowShown="0">
  <autoFilter ref="A1:S46" xr:uid="{B88D7095-8581-4372-A970-27C8E4A1C88E}"/>
  <sortState xmlns:xlrd2="http://schemas.microsoft.com/office/spreadsheetml/2017/richdata2" ref="A2:S46">
    <sortCondition ref="A1:A46"/>
  </sortState>
  <tableColumns count="19">
    <tableColumn id="1" xr3:uid="{98A47579-4996-4778-8C46-4F69857F8DA8}" name="Dweller"/>
    <tableColumn id="2" xr3:uid="{3ED25139-3CA1-43A3-972F-056957B571EA}" name="Lvl"/>
    <tableColumn id="3" xr3:uid="{AFA12468-89BE-45CF-9AE3-CEED6D26967E}" name="S"/>
    <tableColumn id="4" xr3:uid="{55B93F3A-EEC1-480E-9D9D-00DD8FE209E7}" name="P"/>
    <tableColumn id="5" xr3:uid="{B425160C-0E25-4BD9-A661-1C75B29072ED}" name="E" dataDxfId="7"/>
    <tableColumn id="6" xr3:uid="{8F25828D-E658-446B-8C94-7E4044FAEE26}" name="C" dataDxfId="6"/>
    <tableColumn id="7" xr3:uid="{BA67DF64-5C22-49AE-A9CF-AFFE4344B6FF}" name="I"/>
    <tableColumn id="8" xr3:uid="{36EC0144-1EB7-46D8-AF8A-F6C1289CE783}" name="A"/>
    <tableColumn id="9" xr3:uid="{DE7B7C74-DB30-4958-B7D3-ACF4E89C160D}" name="L"/>
    <tableColumn id="10" xr3:uid="{622221D1-9185-4639-9621-A5C998FECD56}" name="Job"/>
    <tableColumn id="11" xr3:uid="{9C0A56FB-50E2-4CAE-8456-AB2BA6F14685}" name="Outfit"/>
    <tableColumn id="12" xr3:uid="{6F5935A9-1B7C-4588-B157-9BACE0410338}" name="Weapon"/>
    <tableColumn id="13" xr3:uid="{67C549F2-CBE5-4DBB-8C11-C0B55DB553F3}" name="Relationship"/>
    <tableColumn id="14" xr3:uid="{032AE85B-C6FB-4271-B86A-E57EFDA8D8DB}" name="Father"/>
    <tableColumn id="15" xr3:uid="{19C7A0D3-B575-4D73-B0D8-83C9E3F51097}" name="Mother"/>
    <tableColumn id="20" xr3:uid="{F653B1F9-F145-409A-9406-4B252B3F8BAD}" name="Genre"/>
    <tableColumn id="16" xr3:uid="{8F3C64E4-8993-4252-A731-904E31D1C97B}" name="Stats average" dataDxfId="5">
      <calculatedColumnFormula>IFERROR(MEDIAN(Dwellers[[#This Row],[S]:[L]]),"")</calculatedColumnFormula>
    </tableColumn>
    <tableColumn id="17" xr3:uid="{A68E723D-81A5-4C1F-BDAA-DA42F7F1869D}" name="Strong" dataDxfId="4">
      <calculatedColumnFormula>IFERROR(LARGE(Dwellers[[#This Row],[S]:[L]],1) &amp; " " &amp; INDEX(Dwellers[[#Headers],[S]:[L]],1,MATCH(LARGE(Dwellers[[#This Row],[S]:[L]],1),Dwellers[[#This Row],[S]:[L]],0)),"")</calculatedColumnFormula>
    </tableColumn>
    <tableColumn id="18" xr3:uid="{DFA55C26-5CA7-4363-9965-CBB86357D423}" name="StatsBuild" dataDxfId="3">
      <calculatedColumnFormula>IFERROR(IF(VLOOKUP(Dwellers[[#This Row],[Job]],Jobs[],6,TRUE)&lt;&gt;"-",IFERROR(INDEX(Dwellers[[#Headers],[S]:[L]],1,MATCH(LARGE(Dwellers[[#This Row],[S]:[L]],1),Dwellers[[#This Row],[S]:[L]],0))=VLOOKUP(Dwellers[[#This Row],[Job]],Jobs[],6,TRUE),""),""),"")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6932742-0A20-45C0-9ECC-C3779AC169D9}" name="Outfits" displayName="Outfits" ref="A1:I32" totalsRowShown="0">
  <autoFilter ref="A1:I32" xr:uid="{9A878AB3-45EE-4B6D-A117-BF4C2B5804C9}"/>
  <sortState xmlns:xlrd2="http://schemas.microsoft.com/office/spreadsheetml/2017/richdata2" ref="A2:I32">
    <sortCondition ref="A1:A32"/>
  </sortState>
  <tableColumns count="9">
    <tableColumn id="1" xr3:uid="{2E9320B5-D7EA-43E8-8CA8-FA9B4F242844}" name="Outfit"/>
    <tableColumn id="2" xr3:uid="{95D9AD3E-FE82-4968-938E-08B62D4238A0}" name="S"/>
    <tableColumn id="3" xr3:uid="{8942CC3C-177E-4992-B389-FB436A5D89A6}" name="P"/>
    <tableColumn id="4" xr3:uid="{4062C5E3-3DCF-45CC-A84F-F93DD233DF40}" name="E"/>
    <tableColumn id="5" xr3:uid="{301F9005-9AD6-41CF-9746-12533229564C}" name="C"/>
    <tableColumn id="6" xr3:uid="{5EC3FFDD-C75F-4C27-BD07-EB361F0EE680}" name="I"/>
    <tableColumn id="7" xr3:uid="{46DC4FCF-0C71-4C53-92A8-AA114F491106}" name="A"/>
    <tableColumn id="8" xr3:uid="{71CC9AF2-1D57-4310-9BEC-D8E4E8964549}" name="L"/>
    <tableColumn id="10" xr3:uid="{BB1444B4-9577-443A-B57F-D5ED0C0F4CD9}" name="Dweller" dataDxfId="2">
      <calculatedColumnFormula>IFERROR(INDEX(Dwellers[[Dweller]:[Outfit]],MATCH(Outfits[[#This Row],[Outfit]],Dwellers[Outfit],0),1),"")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5405E9F-BE6D-4118-BD27-B3D8F1F0DD7C}" name="Weapons" displayName="Weapons" ref="A1:D25" totalsRowShown="0">
  <autoFilter ref="A1:D25" xr:uid="{70EAAD25-5CAF-46AF-A32C-CC15DD9F9C0A}"/>
  <tableColumns count="4">
    <tableColumn id="1" xr3:uid="{C7FD6203-6CF3-49BC-8FED-FEE9B7841718}" name="Weapon"/>
    <tableColumn id="2" xr3:uid="{EB38010B-0879-460B-A441-4A8D1BCCEC33}" name="Damage" dataDxfId="1"/>
    <tableColumn id="4" xr3:uid="{ED146FCB-ED78-4390-8AE8-50460B5A1C04}" name="Items"/>
    <tableColumn id="5" xr3:uid="{30C4C6F1-482B-40DE-977D-0AE29BC17ABC}" name="Dweller" dataDxfId="0">
      <calculatedColumnFormula>IFERROR(INDEX(Dwellers[[Dweller]:[Outfit]],MATCH(Weapons[[#This Row],[Weapon]],Dwellers[Weapon],0),1),"")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073AB3-829B-42BC-98BE-15D74DA41C6C}" name="Storage" displayName="Storage" ref="A1:B12" totalsRowShown="0">
  <autoFilter ref="A1:B12" xr:uid="{04BC76EE-E414-48FA-A713-371FA0F03EBC}"/>
  <sortState xmlns:xlrd2="http://schemas.microsoft.com/office/spreadsheetml/2017/richdata2" ref="A2:B4">
    <sortCondition ref="A1:A4"/>
  </sortState>
  <tableColumns count="2">
    <tableColumn id="1" xr3:uid="{63A34065-5083-4078-9273-6999576DFCC2}" name="Item"/>
    <tableColumn id="2" xr3:uid="{D801A3DE-0853-4673-8772-3AEFE0D8F847}" name="Total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BF412-7C44-4BFE-8147-40731255DD71}">
  <sheetPr codeName="Planilha1"/>
  <dimension ref="M16"/>
  <sheetViews>
    <sheetView showGridLines="0" showRowColHeaders="0" tabSelected="1" workbookViewId="0">
      <selection activeCell="K15" sqref="K15"/>
    </sheetView>
  </sheetViews>
  <sheetFormatPr defaultRowHeight="15" x14ac:dyDescent="0.25"/>
  <sheetData>
    <row r="16" spans="13:13" x14ac:dyDescent="0.25">
      <c r="M16" s="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Dwellers">
                <anchor moveWithCells="1">
                  <from>
                    <xdr:col>18</xdr:col>
                    <xdr:colOff>19050</xdr:colOff>
                    <xdr:row>1</xdr:row>
                    <xdr:rowOff>123825</xdr:rowOff>
                  </from>
                  <to>
                    <xdr:col>19</xdr:col>
                    <xdr:colOff>390525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Outfits">
                <anchor moveWithCells="1">
                  <from>
                    <xdr:col>18</xdr:col>
                    <xdr:colOff>19050</xdr:colOff>
                    <xdr:row>3</xdr:row>
                    <xdr:rowOff>114300</xdr:rowOff>
                  </from>
                  <to>
                    <xdr:col>19</xdr:col>
                    <xdr:colOff>390525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reateWeapons">
                <anchor moveWithCells="1">
                  <from>
                    <xdr:col>18</xdr:col>
                    <xdr:colOff>19050</xdr:colOff>
                    <xdr:row>5</xdr:row>
                    <xdr:rowOff>114300</xdr:rowOff>
                  </from>
                  <to>
                    <xdr:col>19</xdr:col>
                    <xdr:colOff>390525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F6915-9F4A-474C-8FE2-BB3ED03FC53D}">
  <sheetPr codeName="Planilha2"/>
  <dimension ref="A1:M22"/>
  <sheetViews>
    <sheetView workbookViewId="0">
      <selection activeCell="E2" sqref="E2"/>
    </sheetView>
  </sheetViews>
  <sheetFormatPr defaultRowHeight="15" x14ac:dyDescent="0.25"/>
  <cols>
    <col min="1" max="1" width="10.85546875" bestFit="1" customWidth="1"/>
    <col min="2" max="2" width="11.5703125" bestFit="1" customWidth="1"/>
    <col min="3" max="3" width="15.140625" bestFit="1" customWidth="1"/>
    <col min="4" max="4" width="10.85546875" bestFit="1" customWidth="1"/>
    <col min="5" max="5" width="11" bestFit="1" customWidth="1"/>
    <col min="6" max="6" width="10.42578125" bestFit="1" customWidth="1"/>
    <col min="7" max="8" width="19.5703125" bestFit="1" customWidth="1"/>
    <col min="9" max="9" width="10.7109375" bestFit="1" customWidth="1"/>
    <col min="11" max="11" width="24.7109375" bestFit="1" customWidth="1"/>
    <col min="12" max="12" width="21" bestFit="1" customWidth="1"/>
    <col min="13" max="13" width="25.28515625" bestFit="1" customWidth="1"/>
  </cols>
  <sheetData>
    <row r="1" spans="1:13" x14ac:dyDescent="0.25">
      <c r="A1" t="s">
        <v>24</v>
      </c>
      <c r="B1">
        <f>COUNTIF(Dwellers[Dweller],"*Gl.*") + COUNTIF(Dwellers[Dweller],"*Sd.*")</f>
        <v>7</v>
      </c>
      <c r="D1" t="s">
        <v>55</v>
      </c>
      <c r="E1">
        <f>SUM(COUNTIF(Outfits[Outfit],Outfits[Dweller]=""),COUNTIF(Weapons[Weapon],Weapons[Dweller]=""),COUNTA(Storage[Item]))</f>
        <v>11</v>
      </c>
      <c r="G1">
        <f>COUNTIF(Outfits[Outfit],Outfits[Dweller]="")</f>
        <v>0</v>
      </c>
      <c r="K1" s="1" t="s">
        <v>33</v>
      </c>
      <c r="L1" t="s">
        <v>36</v>
      </c>
      <c r="M1" t="s">
        <v>35</v>
      </c>
    </row>
    <row r="2" spans="1:13" x14ac:dyDescent="0.25">
      <c r="A2" t="s">
        <v>20</v>
      </c>
      <c r="B2">
        <f>COUNTIFS(Dwellers[Dweller],"&lt;&gt;*Gl.*",Dwellers[Dweller],"&lt;&gt;*Sd.*")</f>
        <v>38</v>
      </c>
      <c r="D2" t="s">
        <v>95</v>
      </c>
      <c r="E2">
        <v>65</v>
      </c>
      <c r="K2" s="2" t="s">
        <v>185</v>
      </c>
      <c r="L2" s="3">
        <v>6</v>
      </c>
      <c r="M2" s="3">
        <v>1</v>
      </c>
    </row>
    <row r="3" spans="1:13" x14ac:dyDescent="0.25">
      <c r="A3" t="s">
        <v>19</v>
      </c>
      <c r="B3">
        <f>SUM(B1:B2)</f>
        <v>45</v>
      </c>
      <c r="K3" s="2" t="s">
        <v>114</v>
      </c>
      <c r="L3" s="3">
        <v>2</v>
      </c>
      <c r="M3" s="3">
        <v>1</v>
      </c>
    </row>
    <row r="4" spans="1:13" x14ac:dyDescent="0.25">
      <c r="K4" s="2" t="s">
        <v>105</v>
      </c>
      <c r="L4" s="3">
        <v>2</v>
      </c>
      <c r="M4" s="3">
        <v>2</v>
      </c>
    </row>
    <row r="5" spans="1:13" x14ac:dyDescent="0.25">
      <c r="A5" t="s">
        <v>22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K5" s="2" t="s">
        <v>157</v>
      </c>
      <c r="L5" s="3">
        <v>6</v>
      </c>
      <c r="M5" s="3">
        <v>7</v>
      </c>
    </row>
    <row r="6" spans="1:13" x14ac:dyDescent="0.25">
      <c r="A6" t="s">
        <v>23</v>
      </c>
      <c r="B6">
        <f>MEDIAN(Dwellers[S])</f>
        <v>2</v>
      </c>
      <c r="C6">
        <f>MEDIAN(Dwellers[P])</f>
        <v>2</v>
      </c>
      <c r="D6">
        <f>MEDIAN(Dwellers[E])</f>
        <v>2</v>
      </c>
      <c r="E6">
        <f>MEDIAN(Dwellers[C])</f>
        <v>2</v>
      </c>
      <c r="F6">
        <f>MEDIAN(Dwellers[I])</f>
        <v>2</v>
      </c>
      <c r="G6">
        <f>MEDIAN(Dwellers[A])</f>
        <v>2</v>
      </c>
      <c r="H6">
        <f>MEDIAN(Dwellers[L])</f>
        <v>2</v>
      </c>
      <c r="K6" s="2" t="s">
        <v>29</v>
      </c>
      <c r="L6" s="3">
        <v>0</v>
      </c>
      <c r="M6" s="3">
        <v>1</v>
      </c>
    </row>
    <row r="7" spans="1:13" x14ac:dyDescent="0.25">
      <c r="K7" s="2" t="s">
        <v>117</v>
      </c>
      <c r="L7" s="3">
        <v>2</v>
      </c>
      <c r="M7" s="3">
        <v>2</v>
      </c>
    </row>
    <row r="8" spans="1:13" x14ac:dyDescent="0.25">
      <c r="A8" t="s">
        <v>94</v>
      </c>
      <c r="B8">
        <f>COUNTIFS(Dwellers[StatsBuild],Dwellers[[#This Row],[StatsBuild]]=FALSE)</f>
        <v>13</v>
      </c>
      <c r="K8" s="2" t="s">
        <v>41</v>
      </c>
      <c r="L8" s="3">
        <v>2</v>
      </c>
      <c r="M8" s="3">
        <v>1</v>
      </c>
    </row>
    <row r="9" spans="1:13" x14ac:dyDescent="0.25">
      <c r="A9" t="s">
        <v>93</v>
      </c>
      <c r="B9">
        <f>COUNTIFS(Dwellers[StatsBuild],Dwellers[[#This Row],[StatsBuild]]=TRUE)</f>
        <v>13</v>
      </c>
      <c r="K9" s="2" t="s">
        <v>43</v>
      </c>
      <c r="L9" s="3">
        <v>4</v>
      </c>
      <c r="M9" s="3">
        <v>2</v>
      </c>
    </row>
    <row r="10" spans="1:13" x14ac:dyDescent="0.25">
      <c r="K10" s="2" t="s">
        <v>32</v>
      </c>
      <c r="L10" s="3">
        <v>6</v>
      </c>
      <c r="M10" s="3">
        <v>1</v>
      </c>
    </row>
    <row r="11" spans="1:13" x14ac:dyDescent="0.25">
      <c r="B11" s="1" t="s">
        <v>0</v>
      </c>
      <c r="C11" t="s">
        <v>96</v>
      </c>
      <c r="K11" s="2" t="s">
        <v>30</v>
      </c>
      <c r="L11" s="3">
        <v>6</v>
      </c>
      <c r="M11" s="3">
        <v>6</v>
      </c>
    </row>
    <row r="12" spans="1:13" x14ac:dyDescent="0.25">
      <c r="K12" s="2" t="s">
        <v>31</v>
      </c>
      <c r="L12" s="3">
        <v>4</v>
      </c>
      <c r="M12" s="3">
        <v>4</v>
      </c>
    </row>
    <row r="13" spans="1:13" x14ac:dyDescent="0.25">
      <c r="A13" t="s">
        <v>22</v>
      </c>
      <c r="B13" s="1" t="s">
        <v>97</v>
      </c>
      <c r="K13" s="2" t="s">
        <v>75</v>
      </c>
      <c r="L13" s="3">
        <v>4</v>
      </c>
      <c r="M13" s="3">
        <v>2</v>
      </c>
    </row>
    <row r="14" spans="1:13" x14ac:dyDescent="0.25">
      <c r="A14" t="s">
        <v>23</v>
      </c>
      <c r="B14" s="2" t="s">
        <v>98</v>
      </c>
      <c r="C14" s="5">
        <v>5.7142857142857144</v>
      </c>
      <c r="K14" s="2" t="s">
        <v>42</v>
      </c>
      <c r="L14" s="3">
        <v>4</v>
      </c>
      <c r="M14" s="3">
        <v>0</v>
      </c>
    </row>
    <row r="15" spans="1:13" x14ac:dyDescent="0.25">
      <c r="B15" s="2" t="s">
        <v>99</v>
      </c>
      <c r="C15" s="5">
        <v>5.4285714285714288</v>
      </c>
      <c r="K15" s="2" t="s">
        <v>133</v>
      </c>
      <c r="L15" s="3">
        <v>6</v>
      </c>
      <c r="M15" s="3">
        <v>0</v>
      </c>
    </row>
    <row r="16" spans="1:13" x14ac:dyDescent="0.25">
      <c r="B16" s="2" t="s">
        <v>100</v>
      </c>
      <c r="C16" s="5">
        <v>5.7142857142857144</v>
      </c>
      <c r="K16" s="2" t="s">
        <v>116</v>
      </c>
      <c r="L16" s="3">
        <v>2</v>
      </c>
      <c r="M16" s="3">
        <v>2</v>
      </c>
    </row>
    <row r="17" spans="2:13" x14ac:dyDescent="0.25">
      <c r="B17" s="2" t="s">
        <v>101</v>
      </c>
      <c r="C17" s="5">
        <v>3.8571428571428572</v>
      </c>
      <c r="K17" s="2" t="s">
        <v>63</v>
      </c>
      <c r="L17" s="3">
        <v>4</v>
      </c>
      <c r="M17" s="3">
        <v>2</v>
      </c>
    </row>
    <row r="18" spans="2:13" x14ac:dyDescent="0.25">
      <c r="B18" s="2" t="s">
        <v>102</v>
      </c>
      <c r="C18" s="5">
        <v>3.7142857142857144</v>
      </c>
      <c r="K18" s="2" t="s">
        <v>113</v>
      </c>
      <c r="L18" s="3">
        <v>2</v>
      </c>
      <c r="M18" s="3">
        <v>1</v>
      </c>
    </row>
    <row r="19" spans="2:13" x14ac:dyDescent="0.25">
      <c r="B19" s="2" t="s">
        <v>103</v>
      </c>
      <c r="C19" s="5">
        <v>4.2857142857142856</v>
      </c>
      <c r="K19" s="2" t="s">
        <v>190</v>
      </c>
      <c r="L19" s="3">
        <v>6</v>
      </c>
      <c r="M19" s="3">
        <v>7</v>
      </c>
    </row>
    <row r="20" spans="2:13" x14ac:dyDescent="0.25">
      <c r="B20" s="2" t="s">
        <v>104</v>
      </c>
      <c r="C20" s="5">
        <v>4.1428571428571432</v>
      </c>
      <c r="K20" s="2" t="s">
        <v>131</v>
      </c>
      <c r="L20" s="3">
        <v>6</v>
      </c>
      <c r="M20" s="3">
        <v>1</v>
      </c>
    </row>
    <row r="21" spans="2:13" x14ac:dyDescent="0.25">
      <c r="K21" s="2" t="s">
        <v>115</v>
      </c>
      <c r="L21" s="3">
        <v>2</v>
      </c>
      <c r="M21" s="3">
        <v>2</v>
      </c>
    </row>
    <row r="22" spans="2:13" x14ac:dyDescent="0.25">
      <c r="K22" s="2" t="s">
        <v>34</v>
      </c>
      <c r="L22" s="3">
        <v>76</v>
      </c>
      <c r="M22" s="3">
        <v>45</v>
      </c>
    </row>
  </sheetData>
  <pageMargins left="0.511811024" right="0.511811024" top="0.78740157499999996" bottom="0.78740157499999996" header="0.31496062000000002" footer="0.31496062000000002"/>
  <pageSetup paperSize="9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E8C49-0B39-434F-BE46-8CCAD62AD79C}">
  <sheetPr codeName="Planilha3"/>
  <dimension ref="A1:F21"/>
  <sheetViews>
    <sheetView workbookViewId="0">
      <selection activeCell="A2" sqref="A2"/>
    </sheetView>
  </sheetViews>
  <sheetFormatPr defaultRowHeight="15" x14ac:dyDescent="0.25"/>
  <cols>
    <col min="1" max="1" width="27" customWidth="1"/>
    <col min="2" max="2" width="15" bestFit="1" customWidth="1"/>
    <col min="3" max="3" width="19.28515625" bestFit="1" customWidth="1"/>
    <col min="4" max="4" width="13" bestFit="1" customWidth="1"/>
    <col min="5" max="5" width="10" bestFit="1" customWidth="1"/>
  </cols>
  <sheetData>
    <row r="1" spans="1:6" x14ac:dyDescent="0.25">
      <c r="A1" t="s">
        <v>9</v>
      </c>
      <c r="B1" t="s">
        <v>25</v>
      </c>
      <c r="C1" t="s">
        <v>26</v>
      </c>
      <c r="D1" t="s">
        <v>27</v>
      </c>
      <c r="E1" t="s">
        <v>28</v>
      </c>
      <c r="F1" t="s">
        <v>86</v>
      </c>
    </row>
    <row r="2" spans="1:6" x14ac:dyDescent="0.25">
      <c r="A2" t="s">
        <v>185</v>
      </c>
      <c r="B2">
        <v>6</v>
      </c>
      <c r="C2" s="3">
        <f>COUNTIFS(Dwellers[Job],$A2)</f>
        <v>1</v>
      </c>
    </row>
    <row r="3" spans="1:6" x14ac:dyDescent="0.25">
      <c r="A3" t="s">
        <v>114</v>
      </c>
      <c r="B3">
        <v>2</v>
      </c>
      <c r="C3" s="3">
        <f>COUNTIFS(Dwellers[Job],$A3)</f>
        <v>1</v>
      </c>
      <c r="F3" t="s">
        <v>18</v>
      </c>
    </row>
    <row r="4" spans="1:6" x14ac:dyDescent="0.25">
      <c r="A4" t="s">
        <v>105</v>
      </c>
      <c r="B4">
        <v>2</v>
      </c>
      <c r="C4" s="3">
        <f>COUNTIFS(Dwellers[Job],$A4)</f>
        <v>2</v>
      </c>
      <c r="D4" t="s">
        <v>18</v>
      </c>
      <c r="E4" t="s">
        <v>18</v>
      </c>
      <c r="F4" t="s">
        <v>18</v>
      </c>
    </row>
    <row r="5" spans="1:6" x14ac:dyDescent="0.25">
      <c r="A5" t="s">
        <v>157</v>
      </c>
      <c r="B5">
        <v>6</v>
      </c>
      <c r="C5">
        <f>COUNTIFS(Dwellers[Job],$A5)</f>
        <v>7</v>
      </c>
      <c r="F5" t="s">
        <v>6</v>
      </c>
    </row>
    <row r="6" spans="1:6" x14ac:dyDescent="0.25">
      <c r="A6" t="s">
        <v>29</v>
      </c>
      <c r="B6" t="s">
        <v>18</v>
      </c>
      <c r="C6">
        <f>COUNTIFS(Dwellers[Job],$A6)</f>
        <v>1</v>
      </c>
      <c r="D6" t="s">
        <v>18</v>
      </c>
      <c r="E6" t="s">
        <v>18</v>
      </c>
      <c r="F6" t="s">
        <v>18</v>
      </c>
    </row>
    <row r="7" spans="1:6" x14ac:dyDescent="0.25">
      <c r="A7" t="s">
        <v>117</v>
      </c>
      <c r="B7">
        <v>2</v>
      </c>
      <c r="C7" s="3">
        <f>COUNTIFS(Dwellers[Job],$A7)</f>
        <v>2</v>
      </c>
      <c r="F7" t="s">
        <v>18</v>
      </c>
    </row>
    <row r="8" spans="1:6" x14ac:dyDescent="0.25">
      <c r="A8" t="s">
        <v>41</v>
      </c>
      <c r="B8">
        <v>2</v>
      </c>
      <c r="C8">
        <f>COUNTIFS(Dwellers[Job],$A8)</f>
        <v>1</v>
      </c>
      <c r="D8" t="s">
        <v>18</v>
      </c>
      <c r="E8" t="s">
        <v>18</v>
      </c>
      <c r="F8" t="s">
        <v>18</v>
      </c>
    </row>
    <row r="9" spans="1:6" x14ac:dyDescent="0.25">
      <c r="A9" t="s">
        <v>43</v>
      </c>
      <c r="B9">
        <v>4</v>
      </c>
      <c r="C9">
        <f>COUNTIFS(Dwellers[Job],$A9)</f>
        <v>2</v>
      </c>
      <c r="D9">
        <v>9</v>
      </c>
      <c r="E9">
        <v>25</v>
      </c>
      <c r="F9" t="s">
        <v>5</v>
      </c>
    </row>
    <row r="10" spans="1:6" x14ac:dyDescent="0.25">
      <c r="A10" t="s">
        <v>32</v>
      </c>
      <c r="B10">
        <v>6</v>
      </c>
      <c r="C10">
        <f>COUNTIFS(Dwellers[Job],$A10)</f>
        <v>1</v>
      </c>
      <c r="D10" t="s">
        <v>18</v>
      </c>
      <c r="E10" t="s">
        <v>18</v>
      </c>
      <c r="F10" t="s">
        <v>18</v>
      </c>
    </row>
    <row r="11" spans="1:6" x14ac:dyDescent="0.25">
      <c r="A11" t="s">
        <v>30</v>
      </c>
      <c r="B11">
        <v>6</v>
      </c>
      <c r="C11">
        <f>COUNTIFS(Dwellers[Job],$A11)</f>
        <v>6</v>
      </c>
      <c r="D11">
        <v>66</v>
      </c>
      <c r="E11">
        <v>300</v>
      </c>
      <c r="F11" t="s">
        <v>1</v>
      </c>
    </row>
    <row r="12" spans="1:6" x14ac:dyDescent="0.25">
      <c r="A12" t="s">
        <v>31</v>
      </c>
      <c r="B12">
        <v>4</v>
      </c>
      <c r="C12">
        <f>COUNTIFS(Dwellers[Job],$A12)</f>
        <v>4</v>
      </c>
      <c r="D12">
        <v>31</v>
      </c>
      <c r="E12">
        <v>200</v>
      </c>
      <c r="F12" t="s">
        <v>1</v>
      </c>
    </row>
    <row r="13" spans="1:6" x14ac:dyDescent="0.25">
      <c r="A13" t="s">
        <v>75</v>
      </c>
      <c r="B13">
        <v>4</v>
      </c>
      <c r="C13">
        <f>COUNTIFS(Dwellers[Job],$A13)</f>
        <v>2</v>
      </c>
      <c r="D13" t="s">
        <v>18</v>
      </c>
      <c r="E13" t="s">
        <v>18</v>
      </c>
      <c r="F13" t="s">
        <v>4</v>
      </c>
    </row>
    <row r="14" spans="1:6" x14ac:dyDescent="0.25">
      <c r="A14" t="s">
        <v>42</v>
      </c>
      <c r="B14">
        <v>4</v>
      </c>
      <c r="C14">
        <f>COUNTIFS(Dwellers[Job],$A14)</f>
        <v>0</v>
      </c>
      <c r="F14" t="s">
        <v>4</v>
      </c>
    </row>
    <row r="15" spans="1:6" x14ac:dyDescent="0.25">
      <c r="A15" t="s">
        <v>133</v>
      </c>
      <c r="B15">
        <v>6</v>
      </c>
      <c r="C15" s="3">
        <f>COUNTIFS(Dwellers[Job],$A15)</f>
        <v>0</v>
      </c>
    </row>
    <row r="16" spans="1:6" x14ac:dyDescent="0.25">
      <c r="A16" t="s">
        <v>116</v>
      </c>
      <c r="B16">
        <v>2</v>
      </c>
      <c r="C16" s="3">
        <f>COUNTIFS(Dwellers[Job],$A16)</f>
        <v>2</v>
      </c>
      <c r="F16" t="s">
        <v>18</v>
      </c>
    </row>
    <row r="17" spans="1:6" x14ac:dyDescent="0.25">
      <c r="A17" t="s">
        <v>63</v>
      </c>
      <c r="B17">
        <v>4</v>
      </c>
      <c r="C17">
        <f>COUNTIFS(Dwellers[Job],$A17)</f>
        <v>2</v>
      </c>
      <c r="D17">
        <v>6</v>
      </c>
      <c r="E17">
        <v>25</v>
      </c>
      <c r="F17" t="s">
        <v>5</v>
      </c>
    </row>
    <row r="18" spans="1:6" x14ac:dyDescent="0.25">
      <c r="A18" t="s">
        <v>113</v>
      </c>
      <c r="B18">
        <v>2</v>
      </c>
      <c r="C18">
        <f>COUNTIFS(Dwellers[Job],$A18)</f>
        <v>1</v>
      </c>
      <c r="F18" t="s">
        <v>18</v>
      </c>
    </row>
    <row r="19" spans="1:6" x14ac:dyDescent="0.25">
      <c r="A19" t="s">
        <v>190</v>
      </c>
      <c r="B19">
        <v>6</v>
      </c>
      <c r="C19" s="3">
        <f>COUNTIFS(Dwellers[Job],$A19)</f>
        <v>7</v>
      </c>
    </row>
    <row r="20" spans="1:6" x14ac:dyDescent="0.25">
      <c r="A20" t="s">
        <v>131</v>
      </c>
      <c r="B20">
        <v>6</v>
      </c>
      <c r="C20" s="3">
        <f>COUNTIFS(Dwellers[Job],$A20)</f>
        <v>1</v>
      </c>
    </row>
    <row r="21" spans="1:6" x14ac:dyDescent="0.25">
      <c r="A21" t="s">
        <v>115</v>
      </c>
      <c r="B21">
        <v>2</v>
      </c>
      <c r="C21" s="3">
        <f>COUNTIFS(Dwellers[Job],$A21)</f>
        <v>2</v>
      </c>
      <c r="F21" t="s">
        <v>18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E9561-D884-43C2-93D3-0DFE26ADDF80}">
  <sheetPr codeName="Planilha4"/>
  <dimension ref="A1:U46"/>
  <sheetViews>
    <sheetView topLeftCell="A26" workbookViewId="0">
      <selection activeCell="A47" sqref="A47"/>
    </sheetView>
  </sheetViews>
  <sheetFormatPr defaultRowHeight="15" x14ac:dyDescent="0.25"/>
  <cols>
    <col min="1" max="1" width="28.5703125" customWidth="1"/>
    <col min="2" max="2" width="5.7109375" bestFit="1" customWidth="1"/>
    <col min="3" max="3" width="4.28515625" customWidth="1"/>
    <col min="4" max="4" width="4.140625" customWidth="1"/>
    <col min="5" max="5" width="4.28515625" customWidth="1"/>
    <col min="6" max="6" width="3.7109375" customWidth="1"/>
    <col min="7" max="7" width="4.42578125" customWidth="1"/>
    <col min="8" max="8" width="4" customWidth="1"/>
    <col min="9" max="9" width="4.140625" bestFit="1" customWidth="1"/>
    <col min="10" max="10" width="17.85546875" bestFit="1" customWidth="1"/>
    <col min="11" max="11" width="16.42578125" bestFit="1" customWidth="1"/>
    <col min="12" max="12" width="14.42578125" bestFit="1" customWidth="1"/>
    <col min="13" max="13" width="11.42578125" bestFit="1" customWidth="1"/>
    <col min="14" max="14" width="14" bestFit="1" customWidth="1"/>
    <col min="15" max="16" width="10.7109375" customWidth="1"/>
    <col min="17" max="17" width="12.85546875" customWidth="1"/>
    <col min="18" max="19" width="12.42578125" bestFit="1" customWidth="1"/>
    <col min="21" max="21" width="12.42578125" bestFit="1" customWidth="1"/>
  </cols>
  <sheetData>
    <row r="1" spans="1:21" x14ac:dyDescent="0.25">
      <c r="A1" t="s">
        <v>0</v>
      </c>
      <c r="B1" t="s">
        <v>72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9</v>
      </c>
      <c r="K1" t="s">
        <v>13</v>
      </c>
      <c r="L1" t="s">
        <v>14</v>
      </c>
      <c r="M1" t="s">
        <v>10</v>
      </c>
      <c r="N1" t="s">
        <v>11</v>
      </c>
      <c r="O1" t="s">
        <v>12</v>
      </c>
      <c r="P1" t="s">
        <v>88</v>
      </c>
      <c r="Q1" t="s">
        <v>84</v>
      </c>
      <c r="R1" t="s">
        <v>85</v>
      </c>
      <c r="S1" t="s">
        <v>87</v>
      </c>
    </row>
    <row r="2" spans="1:21" x14ac:dyDescent="0.25">
      <c r="A2" t="s">
        <v>8</v>
      </c>
      <c r="B2">
        <v>50</v>
      </c>
      <c r="C2">
        <f>5+IFERROR(VLOOKUP(Dwellers[[#This Row],[Outfit]],Outfits[#All],2,FALSE),0)</f>
        <v>7</v>
      </c>
      <c r="D2">
        <f>7+IFERROR(VLOOKUP(Dwellers[[#This Row],[Outfit]],Outfits[#All],3,FALSE),0)</f>
        <v>7</v>
      </c>
      <c r="E2" s="3">
        <f>8+IFERROR(VLOOKUP(Dwellers[[#This Row],[Outfit]],Outfits[#All],4,FALSE),0)</f>
        <v>10</v>
      </c>
      <c r="F2" s="3">
        <f>4+IFERROR(VLOOKUP(Dwellers[[#This Row],[Outfit]],Outfits[#All],5,FALSE),0)</f>
        <v>6</v>
      </c>
      <c r="G2">
        <f>6+IFERROR(VLOOKUP(Dwellers[[#This Row],[Outfit]],Outfits[#All],6,FALSE),0)</f>
        <v>6</v>
      </c>
      <c r="H2">
        <f>4+IFERROR(VLOOKUP(Dwellers[[#This Row],[Outfit]],Outfits[#All],7,FALSE),0)</f>
        <v>4</v>
      </c>
      <c r="I2">
        <f>7+IFERROR(VLOOKUP(Dwellers[[#This Row],[Outfit]],Outfits[#All],8,FALSE),0)</f>
        <v>9</v>
      </c>
      <c r="J2" t="s">
        <v>113</v>
      </c>
      <c r="K2" t="s">
        <v>81</v>
      </c>
      <c r="L2" t="s">
        <v>82</v>
      </c>
      <c r="M2" t="s">
        <v>80</v>
      </c>
      <c r="N2" t="s">
        <v>18</v>
      </c>
      <c r="O2" t="s">
        <v>18</v>
      </c>
      <c r="P2" t="s">
        <v>89</v>
      </c>
      <c r="Q2">
        <f>IFERROR(MEDIAN(Dwellers[[#This Row],[S]:[L]]),"")</f>
        <v>7</v>
      </c>
      <c r="R2" t="str">
        <f>IFERROR(LARGE(Dwellers[[#This Row],[S]:[L]],1) &amp; " " &amp; INDEX(Dwellers[[#Headers],[S]:[L]],1,MATCH(LARGE(Dwellers[[#This Row],[S]:[L]],1),Dwellers[[#This Row],[S]:[L]],0)),"")</f>
        <v>10 E</v>
      </c>
      <c r="S2" t="str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/>
      </c>
    </row>
    <row r="3" spans="1:21" x14ac:dyDescent="0.25">
      <c r="A3" t="s">
        <v>16</v>
      </c>
      <c r="B3">
        <v>50</v>
      </c>
      <c r="C3">
        <f>7+IFERROR(VLOOKUP(Dwellers[[#This Row],[Outfit]],Outfits[#All],2,FALSE),0)</f>
        <v>7</v>
      </c>
      <c r="D3">
        <f>9+IFERROR(VLOOKUP(Dwellers[[#This Row],[Outfit]],Outfits[#All],3,FALSE),0)</f>
        <v>11</v>
      </c>
      <c r="E3" s="3">
        <f>2+IFERROR(VLOOKUP(Dwellers[[#This Row],[Outfit]],Outfits[#All],4,FALSE),0)</f>
        <v>2</v>
      </c>
      <c r="F3" s="3">
        <f>9+IFERROR(VLOOKUP(Dwellers[[#This Row],[Outfit]],Outfits[#All],5,FALSE),0)</f>
        <v>11</v>
      </c>
      <c r="G3">
        <f>7+IFERROR(VLOOKUP(Dwellers[[#This Row],[Outfit]],Outfits[#All],6,FALSE),0)</f>
        <v>9</v>
      </c>
      <c r="H3">
        <f>2+IFERROR(VLOOKUP(Dwellers[[#This Row],[Outfit]],Outfits[#All],7,FALSE),0)</f>
        <v>2</v>
      </c>
      <c r="I3">
        <f>9+IFERROR(VLOOKUP(Dwellers[[#This Row],[Outfit]],Outfits[#All],8,FALSE),0)</f>
        <v>10</v>
      </c>
      <c r="J3" t="s">
        <v>32</v>
      </c>
      <c r="K3" t="s">
        <v>91</v>
      </c>
      <c r="L3" t="s">
        <v>92</v>
      </c>
      <c r="P3" t="s">
        <v>89</v>
      </c>
      <c r="Q3" s="3">
        <f>IFERROR(MEDIAN(Dwellers[[#This Row],[S]:[L]]),"")</f>
        <v>9</v>
      </c>
      <c r="R3" s="3" t="str">
        <f>IFERROR(LARGE(Dwellers[[#This Row],[S]:[L]],1) &amp; " " &amp; INDEX(Dwellers[[#Headers],[S]:[L]],1,MATCH(LARGE(Dwellers[[#This Row],[S]:[L]],1),Dwellers[[#This Row],[S]:[L]],0)),"")</f>
        <v>11 P</v>
      </c>
      <c r="S3" s="3" t="str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/>
      </c>
    </row>
    <row r="4" spans="1:21" x14ac:dyDescent="0.25">
      <c r="A4" t="s">
        <v>21</v>
      </c>
      <c r="B4">
        <v>12</v>
      </c>
      <c r="C4">
        <f>2+IFERROR(VLOOKUP(Dwellers[[#This Row],[Outfit]],Outfits[#All],2,FALSE),0)</f>
        <v>4</v>
      </c>
      <c r="D4">
        <f>1+IFERROR(VLOOKUP(Dwellers[[#This Row],[Outfit]],Outfits[#All],3,FALSE),0)</f>
        <v>1</v>
      </c>
      <c r="E4" s="3">
        <f>4+IFERROR(VLOOKUP(Dwellers[[#This Row],[Outfit]],Outfits[#All],4,FALSE),0)</f>
        <v>5</v>
      </c>
      <c r="F4" s="3">
        <f>1+IFERROR(VLOOKUP(Dwellers[[#This Row],[Outfit]],Outfits[#All],5,FALSE),0)</f>
        <v>1</v>
      </c>
      <c r="G4">
        <f>2+IFERROR(VLOOKUP(Dwellers[[#This Row],[Outfit]],Outfits[#All],6,FALSE),0)</f>
        <v>2</v>
      </c>
      <c r="H4">
        <f>10+IFERROR(VLOOKUP(Dwellers[[#This Row],[Outfit]],Outfits[#All],7,FALSE),0)</f>
        <v>10</v>
      </c>
      <c r="I4">
        <f>1+IFERROR(VLOOKUP(Dwellers[[#This Row],[Outfit]],Outfits[#All],8,FALSE),0)</f>
        <v>1</v>
      </c>
      <c r="J4" t="s">
        <v>117</v>
      </c>
      <c r="K4" t="s">
        <v>130</v>
      </c>
      <c r="L4" t="s">
        <v>69</v>
      </c>
      <c r="N4" t="s">
        <v>8</v>
      </c>
      <c r="O4" t="s">
        <v>80</v>
      </c>
      <c r="P4" t="s">
        <v>89</v>
      </c>
      <c r="Q4" s="3">
        <f>IFERROR(MEDIAN(Dwellers[[#This Row],[S]:[L]]),"")</f>
        <v>2</v>
      </c>
      <c r="R4" s="3" t="str">
        <f>IFERROR(LARGE(Dwellers[[#This Row],[S]:[L]],1) &amp; " " &amp; INDEX(Dwellers[[#Headers],[S]:[L]],1,MATCH(LARGE(Dwellers[[#This Row],[S]:[L]],1),Dwellers[[#This Row],[S]:[L]],0)),"")</f>
        <v>10 A</v>
      </c>
      <c r="S4" s="3" t="str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/>
      </c>
    </row>
    <row r="5" spans="1:21" x14ac:dyDescent="0.25">
      <c r="A5" t="s">
        <v>37</v>
      </c>
      <c r="B5">
        <v>33</v>
      </c>
      <c r="C5">
        <f>2+IFERROR(VLOOKUP(Dwellers[[#This Row],[Outfit]],Outfits[#All],2,FALSE),0)</f>
        <v>2</v>
      </c>
      <c r="D5">
        <f>2+IFERROR(VLOOKUP(Dwellers[[#This Row],[Outfit]],Outfits[#All],3,FALSE),0)</f>
        <v>3</v>
      </c>
      <c r="E5" s="3">
        <f>5+IFERROR(VLOOKUP(Dwellers[[#This Row],[Outfit]],Outfits[#All],4,FALSE),0)</f>
        <v>5</v>
      </c>
      <c r="F5" s="3">
        <f>2+IFERROR(VLOOKUP(Dwellers[[#This Row],[Outfit]],Outfits[#All],5,FALSE),0)</f>
        <v>2</v>
      </c>
      <c r="G5">
        <f>1+IFERROR(VLOOKUP(Dwellers[[#This Row],[Outfit]],Outfits[#All],6,FALSE),0)</f>
        <v>1</v>
      </c>
      <c r="H5">
        <f>4+IFERROR(VLOOKUP(Dwellers[[#This Row],[Outfit]],Outfits[#All],7,FALSE),0)</f>
        <v>5</v>
      </c>
      <c r="I5">
        <f>1+IFERROR(VLOOKUP(Dwellers[[#This Row],[Outfit]],Outfits[#All],8,FALSE),0)</f>
        <v>2</v>
      </c>
      <c r="J5" t="s">
        <v>29</v>
      </c>
      <c r="K5" t="s">
        <v>38</v>
      </c>
      <c r="L5" t="s">
        <v>39</v>
      </c>
      <c r="M5" t="s">
        <v>17</v>
      </c>
      <c r="N5" t="s">
        <v>18</v>
      </c>
      <c r="O5" t="s">
        <v>18</v>
      </c>
      <c r="P5" t="s">
        <v>90</v>
      </c>
      <c r="Q5">
        <f>IFERROR(MEDIAN(Dwellers[[#This Row],[S]:[L]]),"")</f>
        <v>2</v>
      </c>
      <c r="R5" t="str">
        <f>IFERROR(LARGE(Dwellers[[#This Row],[S]:[L]],1) &amp; " " &amp; INDEX(Dwellers[[#Headers],[S]:[L]],1,MATCH(LARGE(Dwellers[[#This Row],[S]:[L]],1),Dwellers[[#This Row],[S]:[L]],0)),"")</f>
        <v>5 E</v>
      </c>
      <c r="S5" t="str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/>
      </c>
    </row>
    <row r="6" spans="1:21" x14ac:dyDescent="0.25">
      <c r="A6" t="s">
        <v>122</v>
      </c>
      <c r="B6">
        <v>26</v>
      </c>
      <c r="C6">
        <f>6+IFERROR(VLOOKUP(Dwellers[[#This Row],[Outfit]],Outfits[#All],2,FALSE),0)</f>
        <v>8</v>
      </c>
      <c r="D6">
        <f>7+IFERROR(VLOOKUP(Dwellers[[#This Row],[Outfit]],Outfits[#All],3,FALSE),0)</f>
        <v>9</v>
      </c>
      <c r="E6" s="3">
        <f>2+IFERROR(VLOOKUP(Dwellers[[#This Row],[Outfit]],Outfits[#All],4,FALSE),0)</f>
        <v>2</v>
      </c>
      <c r="F6" s="3">
        <f>3+IFERROR(VLOOKUP(Dwellers[[#This Row],[Outfit]],Outfits[#All],5,FALSE),0)</f>
        <v>3</v>
      </c>
      <c r="G6">
        <f>2+IFERROR(VLOOKUP(Dwellers[[#This Row],[Outfit]],Outfits[#All],6,FALSE),0)</f>
        <v>2</v>
      </c>
      <c r="H6">
        <f>1+IFERROR(VLOOKUP(Dwellers[[#This Row],[Outfit]],Outfits[#All],7,FALSE),0)</f>
        <v>1</v>
      </c>
      <c r="I6">
        <f>1+IFERROR(VLOOKUP(Dwellers[[#This Row],[Outfit]],Outfits[#All],8,FALSE),0)</f>
        <v>2</v>
      </c>
      <c r="J6" t="s">
        <v>115</v>
      </c>
      <c r="K6" t="s">
        <v>119</v>
      </c>
      <c r="L6" t="s">
        <v>120</v>
      </c>
      <c r="P6" t="s">
        <v>89</v>
      </c>
      <c r="Q6" s="3">
        <f>IFERROR(MEDIAN(Dwellers[[#This Row],[S]:[L]]),"")</f>
        <v>2</v>
      </c>
      <c r="R6" s="3" t="str">
        <f>IFERROR(LARGE(Dwellers[[#This Row],[S]:[L]],1) &amp; " " &amp; INDEX(Dwellers[[#Headers],[S]:[L]],1,MATCH(LARGE(Dwellers[[#This Row],[S]:[L]],1),Dwellers[[#This Row],[S]:[L]],0)),"")</f>
        <v>9 P</v>
      </c>
      <c r="S6" s="3" t="str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/>
      </c>
      <c r="U6">
        <f>COUNTIF(Dwellers[StatsBuild],Dwellers[StatsBuild]=TRUE)</f>
        <v>13</v>
      </c>
    </row>
    <row r="7" spans="1:21" x14ac:dyDescent="0.25">
      <c r="A7" t="s">
        <v>74</v>
      </c>
      <c r="B7">
        <v>25</v>
      </c>
      <c r="C7">
        <f>10+IFERROR(VLOOKUP(Dwellers[[#This Row],[Outfit]],Outfits[#All],2,FALSE),0)</f>
        <v>10</v>
      </c>
      <c r="D7">
        <f>2+IFERROR(VLOOKUP(Dwellers[[#This Row],[Outfit]],Outfits[#All],3,FALSE),0)</f>
        <v>2</v>
      </c>
      <c r="E7" s="3">
        <f>7+IFERROR(VLOOKUP(Dwellers[[#This Row],[Outfit]],Outfits[#All],4,FALSE),0)</f>
        <v>11</v>
      </c>
      <c r="F7" s="3">
        <f>3+IFERROR(VLOOKUP(Dwellers[[#This Row],[Outfit]],Outfits[#All],5,FALSE),0)</f>
        <v>3</v>
      </c>
      <c r="G7">
        <f>4+IFERROR(VLOOKUP(Dwellers[[#This Row],[Outfit]],Outfits[#All],6,FALSE),0)</f>
        <v>4</v>
      </c>
      <c r="H7">
        <f>6+IFERROR(VLOOKUP(Dwellers[[#This Row],[Outfit]],Outfits[#All],7,FALSE),0)</f>
        <v>6</v>
      </c>
      <c r="I7">
        <f>3+IFERROR(VLOOKUP(Dwellers[[#This Row],[Outfit]],Outfits[#All],8,FALSE),0)</f>
        <v>4</v>
      </c>
      <c r="J7" t="s">
        <v>117</v>
      </c>
      <c r="K7" t="s">
        <v>128</v>
      </c>
      <c r="L7" t="s">
        <v>129</v>
      </c>
      <c r="M7" t="s">
        <v>73</v>
      </c>
      <c r="P7" t="s">
        <v>89</v>
      </c>
      <c r="Q7" s="3">
        <f>IFERROR(MEDIAN(Dwellers[[#This Row],[S]:[L]]),"")</f>
        <v>4</v>
      </c>
      <c r="R7" s="3" t="str">
        <f>IFERROR(LARGE(Dwellers[[#This Row],[S]:[L]],1) &amp; " " &amp; INDEX(Dwellers[[#Headers],[S]:[L]],1,MATCH(LARGE(Dwellers[[#This Row],[S]:[L]],1),Dwellers[[#This Row],[S]:[L]],0)),"")</f>
        <v>11 E</v>
      </c>
      <c r="S7" s="3" t="str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/>
      </c>
      <c r="U7">
        <f>COUNTIF(Dwellers[StatsBuild],Dwellers[StatsBuild]=TRUE)</f>
        <v>13</v>
      </c>
    </row>
    <row r="8" spans="1:21" x14ac:dyDescent="0.25">
      <c r="A8" t="s">
        <v>53</v>
      </c>
      <c r="B8">
        <v>25</v>
      </c>
      <c r="C8">
        <f>2+IFERROR(VLOOKUP(Dwellers[[#This Row],[Outfit]],Outfits[#All],2,FALSE),0)</f>
        <v>2</v>
      </c>
      <c r="D8">
        <f>2+IFERROR(VLOOKUP(Dwellers[[#This Row],[Outfit]],Outfits[#All],3,FALSE),0)</f>
        <v>5</v>
      </c>
      <c r="E8" s="3">
        <f>5+IFERROR(VLOOKUP(Dwellers[[#This Row],[Outfit]],Outfits[#All],4,FALSE),0)</f>
        <v>5</v>
      </c>
      <c r="F8" s="3">
        <f>1+IFERROR(VLOOKUP(Dwellers[[#This Row],[Outfit]],Outfits[#All],5,FALSE),0)</f>
        <v>1</v>
      </c>
      <c r="G8">
        <f>2+IFERROR(VLOOKUP(Dwellers[[#This Row],[Outfit]],Outfits[#All],6,FALSE),0)</f>
        <v>2</v>
      </c>
      <c r="H8">
        <f>2+IFERROR(VLOOKUP(Dwellers[[#This Row],[Outfit]],Outfits[#All],7,FALSE),0)</f>
        <v>2</v>
      </c>
      <c r="I8">
        <f>1+IFERROR(VLOOKUP(Dwellers[[#This Row],[Outfit]],Outfits[#All],8,FALSE),0)</f>
        <v>1</v>
      </c>
      <c r="J8" t="s">
        <v>41</v>
      </c>
      <c r="K8" t="s">
        <v>54</v>
      </c>
      <c r="L8" t="s">
        <v>61</v>
      </c>
      <c r="M8" t="s">
        <v>18</v>
      </c>
      <c r="N8" t="s">
        <v>18</v>
      </c>
      <c r="O8" t="s">
        <v>18</v>
      </c>
      <c r="P8" t="s">
        <v>89</v>
      </c>
      <c r="Q8">
        <f>IFERROR(MEDIAN(Dwellers[[#This Row],[S]:[L]]),"")</f>
        <v>2</v>
      </c>
      <c r="R8" t="str">
        <f>IFERROR(LARGE(Dwellers[[#This Row],[S]:[L]],1) &amp; " " &amp; INDEX(Dwellers[[#Headers],[S]:[L]],1,MATCH(LARGE(Dwellers[[#This Row],[S]:[L]],1),Dwellers[[#This Row],[S]:[L]],0)),"")</f>
        <v>5 P</v>
      </c>
      <c r="S8" t="str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/>
      </c>
    </row>
    <row r="9" spans="1:21" x14ac:dyDescent="0.25">
      <c r="A9" t="s">
        <v>143</v>
      </c>
      <c r="B9">
        <v>13</v>
      </c>
      <c r="C9">
        <f>7+IFERROR(VLOOKUP(Dwellers[[#This Row],[Outfit]],Outfits[#All],2,FALSE),0)</f>
        <v>11</v>
      </c>
      <c r="D9">
        <f>1+IFERROR(VLOOKUP(Dwellers[[#This Row],[Outfit]],Outfits[#All],3,FALSE),0)</f>
        <v>1</v>
      </c>
      <c r="E9" s="3">
        <f>1+IFERROR(VLOOKUP(Dwellers[[#This Row],[Outfit]],Outfits[#All],4,FALSE),0)</f>
        <v>1</v>
      </c>
      <c r="F9" s="3">
        <f>2+IFERROR(VLOOKUP(Dwellers[[#This Row],[Outfit]],Outfits[#All],5,FALSE),0)</f>
        <v>2</v>
      </c>
      <c r="G9">
        <f>2+IFERROR(VLOOKUP(Dwellers[[#This Row],[Outfit]],Outfits[#All],6,FALSE),0)</f>
        <v>2</v>
      </c>
      <c r="H9">
        <f>2+IFERROR(VLOOKUP(Dwellers[[#This Row],[Outfit]],Outfits[#All],7,FALSE),0)</f>
        <v>2</v>
      </c>
      <c r="I9">
        <f>7+IFERROR(VLOOKUP(Dwellers[[#This Row],[Outfit]],Outfits[#All],8,FALSE),0)</f>
        <v>7</v>
      </c>
      <c r="J9" t="s">
        <v>185</v>
      </c>
      <c r="K9" t="s">
        <v>186</v>
      </c>
      <c r="L9" t="s">
        <v>187</v>
      </c>
      <c r="M9" t="s">
        <v>142</v>
      </c>
      <c r="P9" t="s">
        <v>90</v>
      </c>
      <c r="Q9" s="3">
        <f>IFERROR(MEDIAN(Dwellers[[#This Row],[S]:[L]]),"")</f>
        <v>2</v>
      </c>
      <c r="R9" s="3" t="str">
        <f>IFERROR(LARGE(Dwellers[[#This Row],[S]:[L]],1) &amp; " " &amp; INDEX(Dwellers[[#Headers],[S]:[L]],1,MATCH(LARGE(Dwellers[[#This Row],[S]:[L]],1),Dwellers[[#This Row],[S]:[L]],0)),"")</f>
        <v>11 S</v>
      </c>
      <c r="S9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0</v>
      </c>
    </row>
    <row r="10" spans="1:21" x14ac:dyDescent="0.25">
      <c r="A10" t="s">
        <v>163</v>
      </c>
      <c r="B10">
        <v>12</v>
      </c>
      <c r="C10">
        <f>3+IFERROR(VLOOKUP(Dwellers[[#This Row],[Outfit]],Outfits[#All],2,FALSE),0)</f>
        <v>3</v>
      </c>
      <c r="D10">
        <f>2+IFERROR(VLOOKUP(Dwellers[[#This Row],[Outfit]],Outfits[#All],3,FALSE),0)</f>
        <v>2</v>
      </c>
      <c r="E10" s="3">
        <f>2+IFERROR(VLOOKUP(Dwellers[[#This Row],[Outfit]],Outfits[#All],4,FALSE),0)</f>
        <v>2</v>
      </c>
      <c r="F10" s="3">
        <f>3+IFERROR(VLOOKUP(Dwellers[[#This Row],[Outfit]],Outfits[#All],5,FALSE),0)</f>
        <v>5</v>
      </c>
      <c r="G10">
        <f>3+IFERROR(VLOOKUP(Dwellers[[#This Row],[Outfit]],Outfits[#All],6,FALSE),0)</f>
        <v>3</v>
      </c>
      <c r="H10">
        <f>4+IFERROR(VLOOKUP(Dwellers[[#This Row],[Outfit]],Outfits[#All],7,FALSE),0)</f>
        <v>5</v>
      </c>
      <c r="I10">
        <f>2+IFERROR(VLOOKUP(Dwellers[[#This Row],[Outfit]],Outfits[#All],8,FALSE),0)</f>
        <v>2</v>
      </c>
      <c r="J10" t="s">
        <v>157</v>
      </c>
      <c r="K10" t="s">
        <v>162</v>
      </c>
      <c r="L10" t="s">
        <v>47</v>
      </c>
      <c r="N10" t="s">
        <v>16</v>
      </c>
      <c r="O10" t="s">
        <v>161</v>
      </c>
      <c r="P10" t="s">
        <v>90</v>
      </c>
      <c r="Q10" s="3">
        <f>IFERROR(MEDIAN(Dwellers[[#This Row],[S]:[L]]),"")</f>
        <v>3</v>
      </c>
      <c r="R10" s="3" t="str">
        <f>IFERROR(LARGE(Dwellers[[#This Row],[S]:[L]],1) &amp; " " &amp; INDEX(Dwellers[[#Headers],[S]:[L]],1,MATCH(LARGE(Dwellers[[#This Row],[S]:[L]],1),Dwellers[[#This Row],[S]:[L]],0)),"")</f>
        <v>5 C</v>
      </c>
      <c r="S10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0</v>
      </c>
    </row>
    <row r="11" spans="1:21" x14ac:dyDescent="0.25">
      <c r="A11" t="s">
        <v>108</v>
      </c>
      <c r="B11">
        <v>1</v>
      </c>
      <c r="C11">
        <f>2+IFERROR(VLOOKUP(Dwellers[[#This Row],[Outfit]],Outfits[#All],2,FALSE),0)</f>
        <v>2</v>
      </c>
      <c r="D11">
        <f>1+IFERROR(VLOOKUP(Dwellers[[#This Row],[Outfit]],Outfits[#All],3,FALSE),0)</f>
        <v>1</v>
      </c>
      <c r="E11" s="3">
        <f>3+IFERROR(VLOOKUP(Dwellers[[#This Row],[Outfit]],Outfits[#All],4,FALSE),0)</f>
        <v>3</v>
      </c>
      <c r="F11" s="3">
        <f>10+IFERROR(VLOOKUP(Dwellers[[#This Row],[Outfit]],Outfits[#All],5,FALSE),0)</f>
        <v>15</v>
      </c>
      <c r="G11">
        <f>1+IFERROR(VLOOKUP(Dwellers[[#This Row],[Outfit]],Outfits[#All],6,FALSE),0)</f>
        <v>1</v>
      </c>
      <c r="H11">
        <f>1+IFERROR(VLOOKUP(Dwellers[[#This Row],[Outfit]],Outfits[#All],7,FALSE),0)</f>
        <v>1</v>
      </c>
      <c r="I11">
        <f>2+IFERROR(VLOOKUP(Dwellers[[#This Row],[Outfit]],Outfits[#All],8,FALSE),0)</f>
        <v>2</v>
      </c>
      <c r="J11" t="s">
        <v>75</v>
      </c>
      <c r="K11" t="s">
        <v>106</v>
      </c>
      <c r="L11" t="s">
        <v>107</v>
      </c>
      <c r="N11" t="s">
        <v>8</v>
      </c>
      <c r="O11" t="s">
        <v>80</v>
      </c>
      <c r="P11" t="s">
        <v>89</v>
      </c>
      <c r="Q11" s="3">
        <f>IFERROR(MEDIAN(Dwellers[[#This Row],[S]:[L]]),"")</f>
        <v>2</v>
      </c>
      <c r="R11" s="3" t="str">
        <f>IFERROR(LARGE(Dwellers[[#This Row],[S]:[L]],1) &amp; " " &amp; INDEX(Dwellers[[#Headers],[S]:[L]],1,MATCH(LARGE(Dwellers[[#This Row],[S]:[L]],1),Dwellers[[#This Row],[S]:[L]],0)),"")</f>
        <v>15 C</v>
      </c>
      <c r="S11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1</v>
      </c>
    </row>
    <row r="12" spans="1:21" x14ac:dyDescent="0.25">
      <c r="A12" t="s">
        <v>111</v>
      </c>
      <c r="B12">
        <v>1</v>
      </c>
      <c r="C12">
        <f>1+IFERROR(VLOOKUP(Dwellers[[#This Row],[Outfit]],Outfits[#All],2,FALSE),0)</f>
        <v>1</v>
      </c>
      <c r="D12">
        <f>1+IFERROR(VLOOKUP(Dwellers[[#This Row],[Outfit]],Outfits[#All],3,FALSE),0)</f>
        <v>1</v>
      </c>
      <c r="E12" s="3">
        <f>1+IFERROR(VLOOKUP(Dwellers[[#This Row],[Outfit]],Outfits[#All],4,FALSE),0)</f>
        <v>1</v>
      </c>
      <c r="F12" s="3">
        <f>3+IFERROR(VLOOKUP(Dwellers[[#This Row],[Outfit]],Outfits[#All],5,FALSE),0)</f>
        <v>7</v>
      </c>
      <c r="G12">
        <f>2+IFERROR(VLOOKUP(Dwellers[[#This Row],[Outfit]],Outfits[#All],6,FALSE),0)</f>
        <v>2</v>
      </c>
      <c r="H12">
        <f>2+IFERROR(VLOOKUP(Dwellers[[#This Row],[Outfit]],Outfits[#All],7,FALSE),0)</f>
        <v>2</v>
      </c>
      <c r="I12">
        <f>2+IFERROR(VLOOKUP(Dwellers[[#This Row],[Outfit]],Outfits[#All],8,FALSE),0)</f>
        <v>3</v>
      </c>
      <c r="J12" t="s">
        <v>105</v>
      </c>
      <c r="K12" t="s">
        <v>109</v>
      </c>
      <c r="L12" t="s">
        <v>110</v>
      </c>
      <c r="N12" t="s">
        <v>16</v>
      </c>
      <c r="O12" t="s">
        <v>112</v>
      </c>
      <c r="P12" t="s">
        <v>89</v>
      </c>
      <c r="Q12" s="3">
        <f>IFERROR(MEDIAN(Dwellers[[#This Row],[S]:[L]]),"")</f>
        <v>2</v>
      </c>
      <c r="R12" s="3" t="str">
        <f>IFERROR(LARGE(Dwellers[[#This Row],[S]:[L]],1) &amp; " " &amp; INDEX(Dwellers[[#Headers],[S]:[L]],1,MATCH(LARGE(Dwellers[[#This Row],[S]:[L]],1),Dwellers[[#This Row],[S]:[L]],0)),"")</f>
        <v>7 C</v>
      </c>
      <c r="S12" s="3" t="str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/>
      </c>
    </row>
    <row r="13" spans="1:21" x14ac:dyDescent="0.25">
      <c r="A13" t="s">
        <v>150</v>
      </c>
      <c r="B13">
        <v>7</v>
      </c>
      <c r="C13">
        <f>7+IFERROR(VLOOKUP(Dwellers[[#This Row],[Outfit]],Outfits[#All],2,FALSE),0)</f>
        <v>7</v>
      </c>
      <c r="D13">
        <f>3+IFERROR(VLOOKUP(Dwellers[[#This Row],[Outfit]],Outfits[#All],3,FALSE),0)</f>
        <v>3</v>
      </c>
      <c r="E13" s="3">
        <f>4+IFERROR(VLOOKUP(Dwellers[[#This Row],[Outfit]],Outfits[#All],4,FALSE),0)</f>
        <v>4</v>
      </c>
      <c r="F13" s="3">
        <f>5+IFERROR(VLOOKUP(Dwellers[[#This Row],[Outfit]],Outfits[#All],5,FALSE),0)</f>
        <v>5</v>
      </c>
      <c r="G13">
        <f>4+IFERROR(VLOOKUP(Dwellers[[#This Row],[Outfit]],Outfits[#All],6,FALSE),0)</f>
        <v>4</v>
      </c>
      <c r="H13">
        <f>3+IFERROR(VLOOKUP(Dwellers[[#This Row],[Outfit]],Outfits[#All],7,FALSE),0)</f>
        <v>3</v>
      </c>
      <c r="I13">
        <f>2+IFERROR(VLOOKUP(Dwellers[[#This Row],[Outfit]],Outfits[#All],8,FALSE),0)</f>
        <v>2</v>
      </c>
      <c r="J13" t="s">
        <v>31</v>
      </c>
      <c r="K13" t="s">
        <v>148</v>
      </c>
      <c r="L13" t="s">
        <v>149</v>
      </c>
      <c r="P13" t="s">
        <v>89</v>
      </c>
      <c r="Q13" s="3">
        <f>IFERROR(MEDIAN(Dwellers[[#This Row],[S]:[L]]),"")</f>
        <v>4</v>
      </c>
      <c r="R13" s="3" t="str">
        <f>IFERROR(LARGE(Dwellers[[#This Row],[S]:[L]],1) &amp; " " &amp; INDEX(Dwellers[[#Headers],[S]:[L]],1,MATCH(LARGE(Dwellers[[#This Row],[S]:[L]],1),Dwellers[[#This Row],[S]:[L]],0)),"")</f>
        <v>7 S</v>
      </c>
      <c r="S13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1</v>
      </c>
    </row>
    <row r="14" spans="1:21" x14ac:dyDescent="0.25">
      <c r="A14" t="s">
        <v>147</v>
      </c>
      <c r="B14">
        <v>15</v>
      </c>
      <c r="C14">
        <f>5+IFERROR(VLOOKUP(Dwellers[[#This Row],[Outfit]],Outfits[#All],2,FALSE),0)</f>
        <v>8</v>
      </c>
      <c r="D14">
        <f>1+IFERROR(VLOOKUP(Dwellers[[#This Row],[Outfit]],Outfits[#All],3,FALSE),0)</f>
        <v>1</v>
      </c>
      <c r="E14" s="3">
        <f>2+IFERROR(VLOOKUP(Dwellers[[#This Row],[Outfit]],Outfits[#All],4,FALSE),0)</f>
        <v>2</v>
      </c>
      <c r="F14" s="3">
        <f>3+IFERROR(VLOOKUP(Dwellers[[#This Row],[Outfit]],Outfits[#All],5,FALSE),0)</f>
        <v>3</v>
      </c>
      <c r="G14">
        <f>2+IFERROR(VLOOKUP(Dwellers[[#This Row],[Outfit]],Outfits[#All],6,FALSE),0)</f>
        <v>2</v>
      </c>
      <c r="H14">
        <f>1+IFERROR(VLOOKUP(Dwellers[[#This Row],[Outfit]],Outfits[#All],7,FALSE),0)</f>
        <v>1</v>
      </c>
      <c r="I14">
        <f>1+IFERROR(VLOOKUP(Dwellers[[#This Row],[Outfit]],Outfits[#All],8,FALSE),0)</f>
        <v>1</v>
      </c>
      <c r="J14" t="s">
        <v>30</v>
      </c>
      <c r="K14" t="s">
        <v>139</v>
      </c>
      <c r="L14" t="s">
        <v>146</v>
      </c>
      <c r="N14" t="s">
        <v>16</v>
      </c>
      <c r="O14" t="s">
        <v>112</v>
      </c>
      <c r="P14" t="s">
        <v>90</v>
      </c>
      <c r="Q14" s="3">
        <f>IFERROR(MEDIAN(Dwellers[[#This Row],[S]:[L]]),"")</f>
        <v>2</v>
      </c>
      <c r="R14" s="3" t="str">
        <f>IFERROR(LARGE(Dwellers[[#This Row],[S]:[L]],1) &amp; " " &amp; INDEX(Dwellers[[#Headers],[S]:[L]],1,MATCH(LARGE(Dwellers[[#This Row],[S]:[L]],1),Dwellers[[#This Row],[S]:[L]],0)),"")</f>
        <v>8 S</v>
      </c>
      <c r="S14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1</v>
      </c>
    </row>
    <row r="15" spans="1:21" x14ac:dyDescent="0.25">
      <c r="A15" t="s">
        <v>156</v>
      </c>
      <c r="B15">
        <v>20</v>
      </c>
      <c r="C15">
        <f>7+IFERROR(VLOOKUP(Dwellers[[#This Row],[Outfit]],Outfits[#All],2,FALSE),0)</f>
        <v>7</v>
      </c>
      <c r="D15">
        <f>1+IFERROR(VLOOKUP(Dwellers[[#This Row],[Outfit]],Outfits[#All],3,FALSE),0)</f>
        <v>1</v>
      </c>
      <c r="E15" s="3">
        <f>2+IFERROR(VLOOKUP(Dwellers[[#This Row],[Outfit]],Outfits[#All],4,FALSE),0)</f>
        <v>2</v>
      </c>
      <c r="F15" s="3">
        <f>2+IFERROR(VLOOKUP(Dwellers[[#This Row],[Outfit]],Outfits[#All],5,FALSE),0)</f>
        <v>2</v>
      </c>
      <c r="G15">
        <f>1+IFERROR(VLOOKUP(Dwellers[[#This Row],[Outfit]],Outfits[#All],6,FALSE),0)</f>
        <v>1</v>
      </c>
      <c r="H15">
        <f>1+IFERROR(VLOOKUP(Dwellers[[#This Row],[Outfit]],Outfits[#All],7,FALSE),0)</f>
        <v>1</v>
      </c>
      <c r="I15">
        <f>2+IFERROR(VLOOKUP(Dwellers[[#This Row],[Outfit]],Outfits[#All],8,FALSE),0)</f>
        <v>2</v>
      </c>
      <c r="J15" t="s">
        <v>31</v>
      </c>
      <c r="K15" t="s">
        <v>154</v>
      </c>
      <c r="L15" t="s">
        <v>155</v>
      </c>
      <c r="P15" t="s">
        <v>89</v>
      </c>
      <c r="Q15" s="3">
        <f>IFERROR(MEDIAN(Dwellers[[#This Row],[S]:[L]]),"")</f>
        <v>2</v>
      </c>
      <c r="R15" s="3" t="str">
        <f>IFERROR(LARGE(Dwellers[[#This Row],[S]:[L]],1) &amp; " " &amp; INDEX(Dwellers[[#Headers],[S]:[L]],1,MATCH(LARGE(Dwellers[[#This Row],[S]:[L]],1),Dwellers[[#This Row],[S]:[L]],0)),"")</f>
        <v>7 S</v>
      </c>
      <c r="S15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1</v>
      </c>
    </row>
    <row r="16" spans="1:21" x14ac:dyDescent="0.25">
      <c r="A16" t="s">
        <v>159</v>
      </c>
      <c r="B16">
        <v>11</v>
      </c>
      <c r="C16">
        <f>2+IFERROR(VLOOKUP(Dwellers[[#This Row],[Outfit]],Outfits[#All],2,FALSE),0)</f>
        <v>2</v>
      </c>
      <c r="D16">
        <f>2+IFERROR(VLOOKUP(Dwellers[[#This Row],[Outfit]],Outfits[#All],3,FALSE),0)</f>
        <v>2</v>
      </c>
      <c r="E16" s="3">
        <f>1+IFERROR(VLOOKUP(Dwellers[[#This Row],[Outfit]],Outfits[#All],4,FALSE),0)</f>
        <v>1</v>
      </c>
      <c r="F16" s="3">
        <f>1+IFERROR(VLOOKUP(Dwellers[[#This Row],[Outfit]],Outfits[#All],5,FALSE),0)</f>
        <v>1</v>
      </c>
      <c r="G16">
        <f>1+IFERROR(VLOOKUP(Dwellers[[#This Row],[Outfit]],Outfits[#All],6,FALSE),0)</f>
        <v>1</v>
      </c>
      <c r="H16">
        <f>2+IFERROR(VLOOKUP(Dwellers[[#This Row],[Outfit]],Outfits[#All],7,FALSE),0)</f>
        <v>2</v>
      </c>
      <c r="I16">
        <f>3+IFERROR(VLOOKUP(Dwellers[[#This Row],[Outfit]],Outfits[#All],8,FALSE),0)</f>
        <v>3</v>
      </c>
      <c r="J16" t="s">
        <v>157</v>
      </c>
      <c r="K16" t="s">
        <v>158</v>
      </c>
      <c r="L16" t="s">
        <v>78</v>
      </c>
      <c r="N16" t="s">
        <v>122</v>
      </c>
      <c r="O16" t="s">
        <v>127</v>
      </c>
      <c r="P16" t="s">
        <v>89</v>
      </c>
      <c r="Q16" s="3">
        <f>IFERROR(MEDIAN(Dwellers[[#This Row],[S]:[L]]),"")</f>
        <v>2</v>
      </c>
      <c r="R16" s="3" t="str">
        <f>IFERROR(LARGE(Dwellers[[#This Row],[S]:[L]],1) &amp; " " &amp; INDEX(Dwellers[[#Headers],[S]:[L]],1,MATCH(LARGE(Dwellers[[#This Row],[S]:[L]],1),Dwellers[[#This Row],[S]:[L]],0)),"")</f>
        <v>3 L</v>
      </c>
      <c r="S16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0</v>
      </c>
    </row>
    <row r="17" spans="1:19" x14ac:dyDescent="0.25">
      <c r="A17" t="s">
        <v>132</v>
      </c>
      <c r="B17">
        <v>3</v>
      </c>
      <c r="C17">
        <f>2+IFERROR(VLOOKUP(Dwellers[[#This Row],[Outfit]],Outfits[#All],2,FALSE),0)</f>
        <v>4</v>
      </c>
      <c r="D17">
        <f>1+IFERROR(VLOOKUP(Dwellers[[#This Row],[Outfit]],Outfits[#All],3,FALSE),0)</f>
        <v>1</v>
      </c>
      <c r="E17" s="3">
        <f>2+IFERROR(VLOOKUP(Dwellers[[#This Row],[Outfit]],Outfits[#All],4,FALSE),0)</f>
        <v>3</v>
      </c>
      <c r="F17" s="3">
        <f>1+IFERROR(VLOOKUP(Dwellers[[#This Row],[Outfit]],Outfits[#All],5,FALSE),0)</f>
        <v>1</v>
      </c>
      <c r="G17">
        <f>3+IFERROR(VLOOKUP(Dwellers[[#This Row],[Outfit]],Outfits[#All],6,FALSE),0)</f>
        <v>3</v>
      </c>
      <c r="H17">
        <f>1+IFERROR(VLOOKUP(Dwellers[[#This Row],[Outfit]],Outfits[#All],7,FALSE),0)</f>
        <v>1</v>
      </c>
      <c r="I17">
        <f>2+IFERROR(VLOOKUP(Dwellers[[#This Row],[Outfit]],Outfits[#All],8,FALSE),0)</f>
        <v>2</v>
      </c>
      <c r="J17" t="s">
        <v>131</v>
      </c>
      <c r="K17" t="s">
        <v>130</v>
      </c>
      <c r="L17" t="s">
        <v>107</v>
      </c>
      <c r="N17" t="s">
        <v>45</v>
      </c>
      <c r="O17" t="s">
        <v>44</v>
      </c>
      <c r="P17" t="s">
        <v>89</v>
      </c>
      <c r="Q17" s="3">
        <f>IFERROR(MEDIAN(Dwellers[[#This Row],[S]:[L]]),"")</f>
        <v>2</v>
      </c>
      <c r="R17" s="3" t="str">
        <f>IFERROR(LARGE(Dwellers[[#This Row],[S]:[L]],1) &amp; " " &amp; INDEX(Dwellers[[#Headers],[S]:[L]],1,MATCH(LARGE(Dwellers[[#This Row],[S]:[L]],1),Dwellers[[#This Row],[S]:[L]],0)),"")</f>
        <v>4 S</v>
      </c>
      <c r="S17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0</v>
      </c>
    </row>
    <row r="18" spans="1:19" x14ac:dyDescent="0.25">
      <c r="A18" t="s">
        <v>184</v>
      </c>
      <c r="B18">
        <v>18</v>
      </c>
      <c r="C18">
        <f>2+IFERROR(VLOOKUP(Dwellers[[#This Row],[Outfit]],Outfits[#All],2,FALSE),0)</f>
        <v>2</v>
      </c>
      <c r="D18">
        <f>2+IFERROR(VLOOKUP(Dwellers[[#This Row],[Outfit]],Outfits[#All],3,FALSE),0)</f>
        <v>5</v>
      </c>
      <c r="E18" s="3">
        <f>1+IFERROR(VLOOKUP(Dwellers[[#This Row],[Outfit]],Outfits[#All],4,FALSE),0)</f>
        <v>1</v>
      </c>
      <c r="F18" s="3">
        <f>2+IFERROR(VLOOKUP(Dwellers[[#This Row],[Outfit]],Outfits[#All],5,FALSE),0)</f>
        <v>2</v>
      </c>
      <c r="G18">
        <f>1+IFERROR(VLOOKUP(Dwellers[[#This Row],[Outfit]],Outfits[#All],6,FALSE),0)</f>
        <v>1</v>
      </c>
      <c r="H18">
        <f>1+IFERROR(VLOOKUP(Dwellers[[#This Row],[Outfit]],Outfits[#All],7,FALSE),0)</f>
        <v>1</v>
      </c>
      <c r="I18">
        <f>3+IFERROR(VLOOKUP(Dwellers[[#This Row],[Outfit]],Outfits[#All],8,FALSE),0)</f>
        <v>3</v>
      </c>
      <c r="J18" t="s">
        <v>169</v>
      </c>
      <c r="K18" t="s">
        <v>54</v>
      </c>
      <c r="L18" t="s">
        <v>146</v>
      </c>
      <c r="P18" t="s">
        <v>89</v>
      </c>
      <c r="Q18" s="3">
        <f>IFERROR(MEDIAN(Dwellers[[#This Row],[S]:[L]]),"")</f>
        <v>2</v>
      </c>
      <c r="R18" s="3" t="str">
        <f>IFERROR(LARGE(Dwellers[[#This Row],[S]:[L]],1) &amp; " " &amp; INDEX(Dwellers[[#Headers],[S]:[L]],1,MATCH(LARGE(Dwellers[[#This Row],[S]:[L]],1),Dwellers[[#This Row],[S]:[L]],0)),"")</f>
        <v>5 P</v>
      </c>
      <c r="S18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0</v>
      </c>
    </row>
    <row r="19" spans="1:19" x14ac:dyDescent="0.25">
      <c r="A19" t="s">
        <v>145</v>
      </c>
      <c r="B19">
        <v>12</v>
      </c>
      <c r="C19">
        <f>3+IFERROR(VLOOKUP(Dwellers[[#This Row],[Outfit]],Outfits[#All],2,FALSE),0)</f>
        <v>6</v>
      </c>
      <c r="D19">
        <f>1+IFERROR(VLOOKUP(Dwellers[[#This Row],[Outfit]],Outfits[#All],3,FALSE),0)</f>
        <v>1</v>
      </c>
      <c r="E19" s="3">
        <f>1+IFERROR(VLOOKUP(Dwellers[[#This Row],[Outfit]],Outfits[#All],4,FALSE),0)</f>
        <v>1</v>
      </c>
      <c r="F19" s="3">
        <f>1+IFERROR(VLOOKUP(Dwellers[[#This Row],[Outfit]],Outfits[#All],5,FALSE),0)</f>
        <v>1</v>
      </c>
      <c r="G19">
        <f>2+IFERROR(VLOOKUP(Dwellers[[#This Row],[Outfit]],Outfits[#All],6,FALSE),0)</f>
        <v>2</v>
      </c>
      <c r="H19">
        <f>2+IFERROR(VLOOKUP(Dwellers[[#This Row],[Outfit]],Outfits[#All],7,FALSE),0)</f>
        <v>4</v>
      </c>
      <c r="I19">
        <f>2+IFERROR(VLOOKUP(Dwellers[[#This Row],[Outfit]],Outfits[#All],8,FALSE),0)</f>
        <v>2</v>
      </c>
      <c r="J19" t="s">
        <v>30</v>
      </c>
      <c r="K19" t="s">
        <v>144</v>
      </c>
      <c r="L19" t="s">
        <v>50</v>
      </c>
      <c r="N19" t="s">
        <v>142</v>
      </c>
      <c r="O19" t="s">
        <v>143</v>
      </c>
      <c r="P19" t="s">
        <v>90</v>
      </c>
      <c r="Q19" s="3">
        <f>IFERROR(MEDIAN(Dwellers[[#This Row],[S]:[L]]),"")</f>
        <v>2</v>
      </c>
      <c r="R19" s="3" t="str">
        <f>IFERROR(LARGE(Dwellers[[#This Row],[S]:[L]],1) &amp; " " &amp; INDEX(Dwellers[[#Headers],[S]:[L]],1,MATCH(LARGE(Dwellers[[#This Row],[S]:[L]],1),Dwellers[[#This Row],[S]:[L]],0)),"")</f>
        <v>6 S</v>
      </c>
      <c r="S19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1</v>
      </c>
    </row>
    <row r="20" spans="1:19" x14ac:dyDescent="0.25">
      <c r="A20" t="s">
        <v>73</v>
      </c>
      <c r="B20">
        <v>19</v>
      </c>
      <c r="C20">
        <f>1+IFERROR(VLOOKUP(Dwellers[[#This Row],[Outfit]],Outfits[#All],2,FALSE),0)</f>
        <v>1</v>
      </c>
      <c r="D20">
        <f>1+IFERROR(VLOOKUP(Dwellers[[#This Row],[Outfit]],Outfits[#All],3,FALSE),0)</f>
        <v>1</v>
      </c>
      <c r="E20" s="3">
        <f>2+IFERROR(VLOOKUP(Dwellers[[#This Row],[Outfit]],Outfits[#All],4,FALSE),0)</f>
        <v>2</v>
      </c>
      <c r="F20" s="3">
        <f>2+IFERROR(VLOOKUP(Dwellers[[#This Row],[Outfit]],Outfits[#All],5,FALSE),0)</f>
        <v>2</v>
      </c>
      <c r="G20">
        <f>8+IFERROR(VLOOKUP(Dwellers[[#This Row],[Outfit]],Outfits[#All],6,FALSE),0)</f>
        <v>11</v>
      </c>
      <c r="H20">
        <f>2+IFERROR(VLOOKUP(Dwellers[[#This Row],[Outfit]],Outfits[#All],7,FALSE),0)</f>
        <v>2</v>
      </c>
      <c r="I20">
        <f>1+IFERROR(VLOOKUP(Dwellers[[#This Row],[Outfit]],Outfits[#All],8,FALSE),0)</f>
        <v>1</v>
      </c>
      <c r="J20" t="s">
        <v>116</v>
      </c>
      <c r="K20" t="s">
        <v>126</v>
      </c>
      <c r="L20" t="s">
        <v>50</v>
      </c>
      <c r="M20" t="s">
        <v>74</v>
      </c>
      <c r="N20" t="s">
        <v>16</v>
      </c>
      <c r="P20" t="s">
        <v>90</v>
      </c>
      <c r="Q20" s="3">
        <f>IFERROR(MEDIAN(Dwellers[[#This Row],[S]:[L]]),"")</f>
        <v>2</v>
      </c>
      <c r="R20" s="3" t="str">
        <f>IFERROR(LARGE(Dwellers[[#This Row],[S]:[L]],1) &amp; " " &amp; INDEX(Dwellers[[#Headers],[S]:[L]],1,MATCH(LARGE(Dwellers[[#This Row],[S]:[L]],1),Dwellers[[#This Row],[S]:[L]],0)),"")</f>
        <v>11 I</v>
      </c>
      <c r="S20" s="3" t="str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/>
      </c>
    </row>
    <row r="21" spans="1:19" x14ac:dyDescent="0.25">
      <c r="A21" t="s">
        <v>64</v>
      </c>
      <c r="B21">
        <v>7</v>
      </c>
      <c r="C21">
        <f>2+IFERROR(VLOOKUP(Dwellers[[#This Row],[Outfit]],Outfits[#All],2,FALSE),0)</f>
        <v>2</v>
      </c>
      <c r="D21">
        <f>2+IFERROR(VLOOKUP(Dwellers[[#This Row],[Outfit]],Outfits[#All],3,FALSE),0)</f>
        <v>2</v>
      </c>
      <c r="E21" s="3">
        <f>1+IFERROR(VLOOKUP(Dwellers[[#This Row],[Outfit]],Outfits[#All],4,FALSE),0)</f>
        <v>3</v>
      </c>
      <c r="F21" s="3">
        <f>2+IFERROR(VLOOKUP(Dwellers[[#This Row],[Outfit]],Outfits[#All],5,FALSE),0)</f>
        <v>2</v>
      </c>
      <c r="G21">
        <f>3+IFERROR(VLOOKUP(Dwellers[[#This Row],[Outfit]],Outfits[#All],6,FALSE),0)</f>
        <v>5</v>
      </c>
      <c r="H21">
        <f>1+IFERROR(VLOOKUP(Dwellers[[#This Row],[Outfit]],Outfits[#All],7,FALSE),0)</f>
        <v>1</v>
      </c>
      <c r="I21">
        <f>1+IFERROR(VLOOKUP(Dwellers[[#This Row],[Outfit]],Outfits[#All],8,FALSE),0)</f>
        <v>2</v>
      </c>
      <c r="J21" t="s">
        <v>63</v>
      </c>
      <c r="K21" t="s">
        <v>65</v>
      </c>
      <c r="L21" t="s">
        <v>66</v>
      </c>
      <c r="N21" t="s">
        <v>74</v>
      </c>
      <c r="O21" t="s">
        <v>73</v>
      </c>
      <c r="P21" t="s">
        <v>90</v>
      </c>
      <c r="Q21" s="3">
        <f>IFERROR(MEDIAN(Dwellers[[#This Row],[S]:[L]]),"")</f>
        <v>2</v>
      </c>
      <c r="R21" s="3" t="str">
        <f>IFERROR(LARGE(Dwellers[[#This Row],[S]:[L]],1) &amp; " " &amp; INDEX(Dwellers[[#Headers],[S]:[L]],1,MATCH(LARGE(Dwellers[[#This Row],[S]:[L]],1),Dwellers[[#This Row],[S]:[L]],0)),"")</f>
        <v>5 I</v>
      </c>
      <c r="S21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1</v>
      </c>
    </row>
    <row r="22" spans="1:19" x14ac:dyDescent="0.25">
      <c r="A22" t="s">
        <v>151</v>
      </c>
      <c r="B22">
        <v>10</v>
      </c>
      <c r="C22">
        <f>2+IFERROR(VLOOKUP(Dwellers[[#This Row],[Outfit]],Outfits[#All],2,FALSE),0)</f>
        <v>4</v>
      </c>
      <c r="D22">
        <f>2+IFERROR(VLOOKUP(Dwellers[[#This Row],[Outfit]],Outfits[#All],3,FALSE),0)</f>
        <v>2</v>
      </c>
      <c r="E22" s="3">
        <f>4+IFERROR(VLOOKUP(Dwellers[[#This Row],[Outfit]],Outfits[#All],4,FALSE),0)</f>
        <v>4</v>
      </c>
      <c r="F22" s="3">
        <f>3+IFERROR(VLOOKUP(Dwellers[[#This Row],[Outfit]],Outfits[#All],5,FALSE),0)</f>
        <v>3</v>
      </c>
      <c r="G22">
        <f>2+IFERROR(VLOOKUP(Dwellers[[#This Row],[Outfit]],Outfits[#All],6,FALSE),0)</f>
        <v>2</v>
      </c>
      <c r="H22">
        <f>3+IFERROR(VLOOKUP(Dwellers[[#This Row],[Outfit]],Outfits[#All],7,FALSE),0)</f>
        <v>4</v>
      </c>
      <c r="I22">
        <f>3+IFERROR(VLOOKUP(Dwellers[[#This Row],[Outfit]],Outfits[#All],8,FALSE),0)</f>
        <v>3</v>
      </c>
      <c r="J22" t="s">
        <v>31</v>
      </c>
      <c r="K22" t="s">
        <v>134</v>
      </c>
      <c r="L22" t="s">
        <v>107</v>
      </c>
      <c r="N22" t="s">
        <v>8</v>
      </c>
      <c r="O22" t="s">
        <v>80</v>
      </c>
      <c r="P22" t="s">
        <v>89</v>
      </c>
      <c r="Q22" s="3">
        <f>IFERROR(MEDIAN(Dwellers[[#This Row],[S]:[L]]),"")</f>
        <v>3</v>
      </c>
      <c r="R22" s="3" t="str">
        <f>IFERROR(LARGE(Dwellers[[#This Row],[S]:[L]],1) &amp; " " &amp; INDEX(Dwellers[[#Headers],[S]:[L]],1,MATCH(LARGE(Dwellers[[#This Row],[S]:[L]],1),Dwellers[[#This Row],[S]:[L]],0)),"")</f>
        <v>4 S</v>
      </c>
      <c r="S22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1</v>
      </c>
    </row>
    <row r="23" spans="1:19" x14ac:dyDescent="0.25">
      <c r="A23" t="s">
        <v>137</v>
      </c>
      <c r="B23">
        <v>11</v>
      </c>
      <c r="C23">
        <f>3+IFERROR(VLOOKUP(Dwellers[[#This Row],[Outfit]],Outfits[#All],2,FALSE),0)</f>
        <v>5</v>
      </c>
      <c r="D23">
        <f>2+IFERROR(VLOOKUP(Dwellers[[#This Row],[Outfit]],Outfits[#All],3,FALSE),0)</f>
        <v>2</v>
      </c>
      <c r="E23" s="3">
        <f>3+IFERROR(VLOOKUP(Dwellers[[#This Row],[Outfit]],Outfits[#All],4,FALSE),0)</f>
        <v>3</v>
      </c>
      <c r="F23" s="3">
        <f>4+IFERROR(VLOOKUP(Dwellers[[#This Row],[Outfit]],Outfits[#All],5,FALSE),0)</f>
        <v>4</v>
      </c>
      <c r="G23">
        <f>2+IFERROR(VLOOKUP(Dwellers[[#This Row],[Outfit]],Outfits[#All],6,FALSE),0)</f>
        <v>2</v>
      </c>
      <c r="H23">
        <f>3+IFERROR(VLOOKUP(Dwellers[[#This Row],[Outfit]],Outfits[#All],7,FALSE),0)</f>
        <v>4</v>
      </c>
      <c r="I23">
        <f>2+IFERROR(VLOOKUP(Dwellers[[#This Row],[Outfit]],Outfits[#All],8,FALSE),0)</f>
        <v>2</v>
      </c>
      <c r="J23" t="s">
        <v>30</v>
      </c>
      <c r="K23" t="s">
        <v>134</v>
      </c>
      <c r="L23" t="s">
        <v>135</v>
      </c>
      <c r="N23" t="s">
        <v>8</v>
      </c>
      <c r="O23" t="s">
        <v>80</v>
      </c>
      <c r="P23" t="s">
        <v>89</v>
      </c>
      <c r="Q23" s="3">
        <f>IFERROR(MEDIAN(Dwellers[[#This Row],[S]:[L]]),"")</f>
        <v>3</v>
      </c>
      <c r="R23" s="3" t="str">
        <f>IFERROR(LARGE(Dwellers[[#This Row],[S]:[L]],1) &amp; " " &amp; INDEX(Dwellers[[#Headers],[S]:[L]],1,MATCH(LARGE(Dwellers[[#This Row],[S]:[L]],1),Dwellers[[#This Row],[S]:[L]],0)),"")</f>
        <v>5 S</v>
      </c>
      <c r="S23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1</v>
      </c>
    </row>
    <row r="24" spans="1:19" x14ac:dyDescent="0.25">
      <c r="A24" t="s">
        <v>168</v>
      </c>
      <c r="B24">
        <v>10</v>
      </c>
      <c r="C24">
        <f>2+IFERROR(VLOOKUP(Dwellers[[#This Row],[Outfit]],Outfits[#All],2,FALSE),0)</f>
        <v>2</v>
      </c>
      <c r="D24">
        <f>1+IFERROR(VLOOKUP(Dwellers[[#This Row],[Outfit]],Outfits[#All],3,FALSE),0)</f>
        <v>1</v>
      </c>
      <c r="E24" s="3">
        <f>2+IFERROR(VLOOKUP(Dwellers[[#This Row],[Outfit]],Outfits[#All],4,FALSE),0)</f>
        <v>2</v>
      </c>
      <c r="F24" s="3">
        <f>1+IFERROR(VLOOKUP(Dwellers[[#This Row],[Outfit]],Outfits[#All],5,FALSE),0)</f>
        <v>1</v>
      </c>
      <c r="G24">
        <f>1+IFERROR(VLOOKUP(Dwellers[[#This Row],[Outfit]],Outfits[#All],6,FALSE),0)</f>
        <v>1</v>
      </c>
      <c r="H24">
        <f>10+IFERROR(VLOOKUP(Dwellers[[#This Row],[Outfit]],Outfits[#All],7,FALSE),0)</f>
        <v>13</v>
      </c>
      <c r="I24">
        <f>3+IFERROR(VLOOKUP(Dwellers[[#This Row],[Outfit]],Outfits[#All],8,FALSE),0)</f>
        <v>3</v>
      </c>
      <c r="J24" t="s">
        <v>157</v>
      </c>
      <c r="K24" t="s">
        <v>164</v>
      </c>
      <c r="L24" t="s">
        <v>107</v>
      </c>
      <c r="N24" t="s">
        <v>16</v>
      </c>
      <c r="O24" t="s">
        <v>167</v>
      </c>
      <c r="P24" t="s">
        <v>89</v>
      </c>
      <c r="Q24" s="3">
        <f>IFERROR(MEDIAN(Dwellers[[#This Row],[S]:[L]]),"")</f>
        <v>2</v>
      </c>
      <c r="R24" s="3" t="str">
        <f>IFERROR(LARGE(Dwellers[[#This Row],[S]:[L]],1) &amp; " " &amp; INDEX(Dwellers[[#Headers],[S]:[L]],1,MATCH(LARGE(Dwellers[[#This Row],[S]:[L]],1),Dwellers[[#This Row],[S]:[L]],0)),"")</f>
        <v>13 A</v>
      </c>
      <c r="S24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1</v>
      </c>
    </row>
    <row r="25" spans="1:19" x14ac:dyDescent="0.25">
      <c r="A25" t="s">
        <v>44</v>
      </c>
      <c r="B25">
        <v>20</v>
      </c>
      <c r="C25">
        <f>2+IFERROR(VLOOKUP(Dwellers[[#This Row],[Outfit]],Outfits[#All],2,FALSE),0)</f>
        <v>2</v>
      </c>
      <c r="D25">
        <f>1+IFERROR(VLOOKUP(Dwellers[[#This Row],[Outfit]],Outfits[#All],3,FALSE),0)</f>
        <v>1</v>
      </c>
      <c r="E25" s="3">
        <f>1+IFERROR(VLOOKUP(Dwellers[[#This Row],[Outfit]],Outfits[#All],4,FALSE),0)</f>
        <v>1</v>
      </c>
      <c r="F25" s="3">
        <f>2+IFERROR(VLOOKUP(Dwellers[[#This Row],[Outfit]],Outfits[#All],5,FALSE),0)</f>
        <v>2</v>
      </c>
      <c r="G25">
        <f>3+IFERROR(VLOOKUP(Dwellers[[#This Row],[Outfit]],Outfits[#All],6,FALSE),0)</f>
        <v>8</v>
      </c>
      <c r="H25">
        <f>2+IFERROR(VLOOKUP(Dwellers[[#This Row],[Outfit]],Outfits[#All],7,FALSE),0)</f>
        <v>2</v>
      </c>
      <c r="I25">
        <f>1+IFERROR(VLOOKUP(Dwellers[[#This Row],[Outfit]],Outfits[#All],8,FALSE),0)</f>
        <v>1</v>
      </c>
      <c r="J25" t="s">
        <v>43</v>
      </c>
      <c r="K25" t="s">
        <v>46</v>
      </c>
      <c r="L25" t="s">
        <v>47</v>
      </c>
      <c r="M25" t="s">
        <v>45</v>
      </c>
      <c r="N25" t="s">
        <v>18</v>
      </c>
      <c r="O25" t="s">
        <v>18</v>
      </c>
      <c r="P25" t="s">
        <v>90</v>
      </c>
      <c r="Q25">
        <f>IFERROR(MEDIAN(Dwellers[[#This Row],[S]:[L]]),"")</f>
        <v>2</v>
      </c>
      <c r="R25" t="str">
        <f>IFERROR(LARGE(Dwellers[[#This Row],[S]:[L]],1) &amp; " " &amp; INDEX(Dwellers[[#Headers],[S]:[L]],1,MATCH(LARGE(Dwellers[[#This Row],[S]:[L]],1),Dwellers[[#This Row],[S]:[L]],0)),"")</f>
        <v>8 I</v>
      </c>
      <c r="S25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1</v>
      </c>
    </row>
    <row r="26" spans="1:19" x14ac:dyDescent="0.25">
      <c r="A26" t="s">
        <v>160</v>
      </c>
      <c r="B26">
        <v>8</v>
      </c>
      <c r="C26">
        <f>1+IFERROR(VLOOKUP(Dwellers[[#This Row],[Outfit]],Outfits[#All],2,FALSE),0)</f>
        <v>1</v>
      </c>
      <c r="D26">
        <f>2+IFERROR(VLOOKUP(Dwellers[[#This Row],[Outfit]],Outfits[#All],3,FALSE),0)</f>
        <v>2</v>
      </c>
      <c r="E26" s="3">
        <f>2+IFERROR(VLOOKUP(Dwellers[[#This Row],[Outfit]],Outfits[#All],4,FALSE),0)</f>
        <v>2</v>
      </c>
      <c r="F26" s="3">
        <f>1+IFERROR(VLOOKUP(Dwellers[[#This Row],[Outfit]],Outfits[#All],5,FALSE),0)</f>
        <v>1</v>
      </c>
      <c r="G26">
        <f>2+IFERROR(VLOOKUP(Dwellers[[#This Row],[Outfit]],Outfits[#All],6,FALSE),0)</f>
        <v>2</v>
      </c>
      <c r="H26">
        <f>3+IFERROR(VLOOKUP(Dwellers[[#This Row],[Outfit]],Outfits[#All],7,FALSE),0)</f>
        <v>3</v>
      </c>
      <c r="I26">
        <f>1+IFERROR(VLOOKUP(Dwellers[[#This Row],[Outfit]],Outfits[#All],8,FALSE),0)</f>
        <v>1</v>
      </c>
      <c r="J26" t="s">
        <v>157</v>
      </c>
      <c r="K26" t="s">
        <v>158</v>
      </c>
      <c r="L26" t="s">
        <v>50</v>
      </c>
      <c r="N26" t="s">
        <v>16</v>
      </c>
      <c r="O26" t="s">
        <v>161</v>
      </c>
      <c r="P26" t="s">
        <v>90</v>
      </c>
      <c r="Q26" s="3">
        <f>IFERROR(MEDIAN(Dwellers[[#This Row],[S]:[L]]),"")</f>
        <v>2</v>
      </c>
      <c r="R26" s="3" t="str">
        <f>IFERROR(LARGE(Dwellers[[#This Row],[S]:[L]],1) &amp; " " &amp; INDEX(Dwellers[[#Headers],[S]:[L]],1,MATCH(LARGE(Dwellers[[#This Row],[S]:[L]],1),Dwellers[[#This Row],[S]:[L]],0)),"")</f>
        <v>3 A</v>
      </c>
      <c r="S26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1</v>
      </c>
    </row>
    <row r="27" spans="1:19" x14ac:dyDescent="0.25">
      <c r="A27" t="s">
        <v>127</v>
      </c>
      <c r="B27">
        <v>10</v>
      </c>
      <c r="C27">
        <f>2+IFERROR(VLOOKUP(Dwellers[[#This Row],[Outfit]],Outfits[#All],2,FALSE),0)</f>
        <v>2</v>
      </c>
      <c r="D27">
        <f>2+IFERROR(VLOOKUP(Dwellers[[#This Row],[Outfit]],Outfits[#All],3,FALSE),0)</f>
        <v>2</v>
      </c>
      <c r="E27" s="3">
        <f>2+IFERROR(VLOOKUP(Dwellers[[#This Row],[Outfit]],Outfits[#All],4,FALSE),0)</f>
        <v>2</v>
      </c>
      <c r="F27" s="3">
        <f>3+IFERROR(VLOOKUP(Dwellers[[#This Row],[Outfit]],Outfits[#All],5,FALSE),0)</f>
        <v>3</v>
      </c>
      <c r="G27">
        <f>8+IFERROR(VLOOKUP(Dwellers[[#This Row],[Outfit]],Outfits[#All],6,FALSE),0)</f>
        <v>11</v>
      </c>
      <c r="H27">
        <f>3+IFERROR(VLOOKUP(Dwellers[[#This Row],[Outfit]],Outfits[#All],7,FALSE),0)</f>
        <v>3</v>
      </c>
      <c r="I27">
        <f>4+IFERROR(VLOOKUP(Dwellers[[#This Row],[Outfit]],Outfits[#All],8,FALSE),0)</f>
        <v>4</v>
      </c>
      <c r="J27" t="s">
        <v>116</v>
      </c>
      <c r="K27" t="s">
        <v>126</v>
      </c>
      <c r="L27" t="s">
        <v>47</v>
      </c>
      <c r="M27" t="s">
        <v>122</v>
      </c>
      <c r="P27" t="s">
        <v>90</v>
      </c>
      <c r="Q27" s="3">
        <f>IFERROR(MEDIAN(Dwellers[[#This Row],[S]:[L]]),"")</f>
        <v>3</v>
      </c>
      <c r="R27" s="3" t="str">
        <f>IFERROR(LARGE(Dwellers[[#This Row],[S]:[L]],1) &amp; " " &amp; INDEX(Dwellers[[#Headers],[S]:[L]],1,MATCH(LARGE(Dwellers[[#This Row],[S]:[L]],1),Dwellers[[#This Row],[S]:[L]],0)),"")</f>
        <v>11 I</v>
      </c>
      <c r="S27" s="3" t="str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/>
      </c>
    </row>
    <row r="28" spans="1:19" x14ac:dyDescent="0.25">
      <c r="A28" t="s">
        <v>140</v>
      </c>
      <c r="B28">
        <v>19</v>
      </c>
      <c r="C28">
        <f>2+IFERROR(VLOOKUP(Dwellers[[#This Row],[Outfit]],Outfits[#All],2,FALSE),0)</f>
        <v>5</v>
      </c>
      <c r="D28">
        <f>1+IFERROR(VLOOKUP(Dwellers[[#This Row],[Outfit]],Outfits[#All],3,FALSE),0)</f>
        <v>1</v>
      </c>
      <c r="E28" s="3">
        <f>1+IFERROR(VLOOKUP(Dwellers[[#This Row],[Outfit]],Outfits[#All],4,FALSE),0)</f>
        <v>1</v>
      </c>
      <c r="F28" s="3">
        <f>3+IFERROR(VLOOKUP(Dwellers[[#This Row],[Outfit]],Outfits[#All],5,FALSE),0)</f>
        <v>3</v>
      </c>
      <c r="G28">
        <f>1+IFERROR(VLOOKUP(Dwellers[[#This Row],[Outfit]],Outfits[#All],6,FALSE),0)</f>
        <v>1</v>
      </c>
      <c r="H28">
        <f>2+IFERROR(VLOOKUP(Dwellers[[#This Row],[Outfit]],Outfits[#All],7,FALSE),0)</f>
        <v>2</v>
      </c>
      <c r="I28">
        <f>2+IFERROR(VLOOKUP(Dwellers[[#This Row],[Outfit]],Outfits[#All],8,FALSE),0)</f>
        <v>2</v>
      </c>
      <c r="J28" t="s">
        <v>30</v>
      </c>
      <c r="K28" t="s">
        <v>139</v>
      </c>
      <c r="L28" t="s">
        <v>107</v>
      </c>
      <c r="P28" t="s">
        <v>89</v>
      </c>
      <c r="Q28" s="3">
        <f>IFERROR(MEDIAN(Dwellers[[#This Row],[S]:[L]]),"")</f>
        <v>2</v>
      </c>
      <c r="R28" s="3" t="str">
        <f>IFERROR(LARGE(Dwellers[[#This Row],[S]:[L]],1) &amp; " " &amp; INDEX(Dwellers[[#Headers],[S]:[L]],1,MATCH(LARGE(Dwellers[[#This Row],[S]:[L]],1),Dwellers[[#This Row],[S]:[L]],0)),"")</f>
        <v>5 S</v>
      </c>
      <c r="S28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1</v>
      </c>
    </row>
    <row r="29" spans="1:19" x14ac:dyDescent="0.25">
      <c r="A29" t="s">
        <v>189</v>
      </c>
      <c r="B29">
        <v>15</v>
      </c>
      <c r="C29">
        <f>1+IFERROR(VLOOKUP(Dwellers[[#This Row],[Outfit]],Outfits[#All],2,FALSE),0)</f>
        <v>1</v>
      </c>
      <c r="D29">
        <f>2+IFERROR(VLOOKUP(Dwellers[[#This Row],[Outfit]],Outfits[#All],3,FALSE),0)</f>
        <v>2</v>
      </c>
      <c r="E29" s="3">
        <f>2+IFERROR(VLOOKUP(Dwellers[[#This Row],[Outfit]],Outfits[#All],4,FALSE),0)</f>
        <v>2</v>
      </c>
      <c r="F29" s="3">
        <f>2+IFERROR(VLOOKUP(Dwellers[[#This Row],[Outfit]],Outfits[#All],5,FALSE),0)</f>
        <v>2</v>
      </c>
      <c r="G29">
        <f>1+IFERROR(VLOOKUP(Dwellers[[#This Row],[Outfit]],Outfits[#All],6,FALSE),0)</f>
        <v>1</v>
      </c>
      <c r="H29">
        <f>2+IFERROR(VLOOKUP(Dwellers[[#This Row],[Outfit]],Outfits[#All],7,FALSE),0)</f>
        <v>2</v>
      </c>
      <c r="I29">
        <f>2+IFERROR(VLOOKUP(Dwellers[[#This Row],[Outfit]],Outfits[#All],8,FALSE),0)</f>
        <v>2</v>
      </c>
      <c r="J29" t="s">
        <v>157</v>
      </c>
      <c r="K29" t="s">
        <v>148</v>
      </c>
      <c r="L29" t="s">
        <v>78</v>
      </c>
      <c r="N29" t="s">
        <v>122</v>
      </c>
      <c r="O29" t="s">
        <v>127</v>
      </c>
      <c r="P29" t="s">
        <v>89</v>
      </c>
      <c r="Q29" s="3">
        <f>IFERROR(MEDIAN(Dwellers[[#This Row],[S]:[L]]),"")</f>
        <v>2</v>
      </c>
      <c r="R29" s="3" t="str">
        <f>IFERROR(LARGE(Dwellers[[#This Row],[S]:[L]],1) &amp; " " &amp; INDEX(Dwellers[[#Headers],[S]:[L]],1,MATCH(LARGE(Dwellers[[#This Row],[S]:[L]],1),Dwellers[[#This Row],[S]:[L]],0)),"")</f>
        <v>2 P</v>
      </c>
      <c r="S29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0</v>
      </c>
    </row>
    <row r="30" spans="1:19" x14ac:dyDescent="0.25">
      <c r="A30" t="s">
        <v>48</v>
      </c>
      <c r="B30">
        <v>9</v>
      </c>
      <c r="C30">
        <f>2+IFERROR(VLOOKUP(Dwellers[[#This Row],[Outfit]],Outfits[#All],2,FALSE),0)</f>
        <v>2</v>
      </c>
      <c r="D30">
        <f>1+IFERROR(VLOOKUP(Dwellers[[#This Row],[Outfit]],Outfits[#All],3,FALSE),0)</f>
        <v>1</v>
      </c>
      <c r="E30" s="3">
        <f>1+IFERROR(VLOOKUP(Dwellers[[#This Row],[Outfit]],Outfits[#All],4,FALSE),0)</f>
        <v>1</v>
      </c>
      <c r="F30" s="3">
        <f>2+IFERROR(VLOOKUP(Dwellers[[#This Row],[Outfit]],Outfits[#All],5,FALSE),0)</f>
        <v>4</v>
      </c>
      <c r="G30">
        <f>10+IFERROR(VLOOKUP(Dwellers[[#This Row],[Outfit]],Outfits[#All],6,FALSE),0)</f>
        <v>13</v>
      </c>
      <c r="H30">
        <f>1+IFERROR(VLOOKUP(Dwellers[[#This Row],[Outfit]],Outfits[#All],7,FALSE),0)</f>
        <v>1</v>
      </c>
      <c r="I30">
        <f>2+IFERROR(VLOOKUP(Dwellers[[#This Row],[Outfit]],Outfits[#All],8,FALSE),0)</f>
        <v>2</v>
      </c>
      <c r="J30" t="s">
        <v>43</v>
      </c>
      <c r="K30" t="s">
        <v>49</v>
      </c>
      <c r="L30" t="s">
        <v>50</v>
      </c>
      <c r="M30" t="s">
        <v>18</v>
      </c>
      <c r="N30" t="s">
        <v>45</v>
      </c>
      <c r="O30" t="s">
        <v>44</v>
      </c>
      <c r="P30" t="s">
        <v>90</v>
      </c>
      <c r="Q30">
        <f>IFERROR(MEDIAN(Dwellers[[#This Row],[S]:[L]]),"")</f>
        <v>2</v>
      </c>
      <c r="R30" t="str">
        <f>IFERROR(LARGE(Dwellers[[#This Row],[S]:[L]],1) &amp; " " &amp; INDEX(Dwellers[[#Headers],[S]:[L]],1,MATCH(LARGE(Dwellers[[#This Row],[S]:[L]],1),Dwellers[[#This Row],[S]:[L]],0)),"")</f>
        <v>13 I</v>
      </c>
      <c r="S30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1</v>
      </c>
    </row>
    <row r="31" spans="1:19" x14ac:dyDescent="0.25">
      <c r="A31" t="s">
        <v>193</v>
      </c>
      <c r="B31">
        <v>8</v>
      </c>
      <c r="C31">
        <f>2+IFERROR(VLOOKUP(Dwellers[[#This Row],[Outfit]],Outfits[#All],2,FALSE),0)</f>
        <v>2</v>
      </c>
      <c r="D31">
        <f>2+IFERROR(VLOOKUP(Dwellers[[#This Row],[Outfit]],Outfits[#All],3,FALSE),0)</f>
        <v>2</v>
      </c>
      <c r="E31" s="3">
        <f>2+IFERROR(VLOOKUP(Dwellers[[#This Row],[Outfit]],Outfits[#All],4,FALSE),0)</f>
        <v>2</v>
      </c>
      <c r="F31" s="3">
        <f>1+IFERROR(VLOOKUP(Dwellers[[#This Row],[Outfit]],Outfits[#All],5,FALSE),0)</f>
        <v>1</v>
      </c>
      <c r="G31">
        <f>1+IFERROR(VLOOKUP(Dwellers[[#This Row],[Outfit]],Outfits[#All],6,FALSE),0)</f>
        <v>1</v>
      </c>
      <c r="H31">
        <f>1+IFERROR(VLOOKUP(Dwellers[[#This Row],[Outfit]],Outfits[#All],7,FALSE),0)</f>
        <v>1</v>
      </c>
      <c r="I31">
        <f>3+IFERROR(VLOOKUP(Dwellers[[#This Row],[Outfit]],Outfits[#All],8,FALSE),0)</f>
        <v>3</v>
      </c>
      <c r="J31" t="s">
        <v>190</v>
      </c>
      <c r="K31" t="s">
        <v>158</v>
      </c>
      <c r="L31" t="s">
        <v>191</v>
      </c>
      <c r="N31" t="s">
        <v>156</v>
      </c>
      <c r="O31" t="s">
        <v>67</v>
      </c>
      <c r="P31" t="s">
        <v>89</v>
      </c>
      <c r="Q31" s="3">
        <f>IFERROR(MEDIAN(Dwellers[[#This Row],[S]:[L]]),"")</f>
        <v>2</v>
      </c>
      <c r="R31" s="3" t="str">
        <f>IFERROR(LARGE(Dwellers[[#This Row],[S]:[L]],1) &amp; " " &amp; INDEX(Dwellers[[#Headers],[S]:[L]],1,MATCH(LARGE(Dwellers[[#This Row],[S]:[L]],1),Dwellers[[#This Row],[S]:[L]],0)),"")</f>
        <v>3 L</v>
      </c>
      <c r="S31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0</v>
      </c>
    </row>
    <row r="32" spans="1:19" x14ac:dyDescent="0.25">
      <c r="A32" t="s">
        <v>173</v>
      </c>
      <c r="B32">
        <v>16</v>
      </c>
      <c r="C32">
        <f>1+IFERROR(VLOOKUP(Dwellers[[#This Row],[Outfit]],Outfits[#All],2,FALSE),0)</f>
        <v>1</v>
      </c>
      <c r="D32">
        <f>7+IFERROR(VLOOKUP(Dwellers[[#This Row],[Outfit]],Outfits[#All],3,FALSE),0)</f>
        <v>11</v>
      </c>
      <c r="E32" s="3">
        <f>2+IFERROR(VLOOKUP(Dwellers[[#This Row],[Outfit]],Outfits[#All],4,FALSE),0)</f>
        <v>2</v>
      </c>
      <c r="F32" s="3">
        <f>1+IFERROR(VLOOKUP(Dwellers[[#This Row],[Outfit]],Outfits[#All],5,FALSE),0)</f>
        <v>1</v>
      </c>
      <c r="G32">
        <f>2+IFERROR(VLOOKUP(Dwellers[[#This Row],[Outfit]],Outfits[#All],6,FALSE),0)</f>
        <v>2</v>
      </c>
      <c r="H32">
        <f>2+IFERROR(VLOOKUP(Dwellers[[#This Row],[Outfit]],Outfits[#All],7,FALSE),0)</f>
        <v>2</v>
      </c>
      <c r="I32">
        <f>2+IFERROR(VLOOKUP(Dwellers[[#This Row],[Outfit]],Outfits[#All],8,FALSE),0)</f>
        <v>2</v>
      </c>
      <c r="J32" t="s">
        <v>169</v>
      </c>
      <c r="K32" t="s">
        <v>175</v>
      </c>
      <c r="L32" t="s">
        <v>149</v>
      </c>
      <c r="M32" t="s">
        <v>176</v>
      </c>
      <c r="P32" t="s">
        <v>89</v>
      </c>
      <c r="Q32" s="3">
        <f>IFERROR(MEDIAN(Dwellers[[#This Row],[S]:[L]]),"")</f>
        <v>2</v>
      </c>
      <c r="R32" s="3" t="str">
        <f>IFERROR(LARGE(Dwellers[[#This Row],[S]:[L]],1) &amp; " " &amp; INDEX(Dwellers[[#Headers],[S]:[L]],1,MATCH(LARGE(Dwellers[[#This Row],[S]:[L]],1),Dwellers[[#This Row],[S]:[L]],0)),"")</f>
        <v>11 P</v>
      </c>
      <c r="S32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0</v>
      </c>
    </row>
    <row r="33" spans="1:19" x14ac:dyDescent="0.25">
      <c r="A33" t="s">
        <v>142</v>
      </c>
      <c r="B33">
        <v>20</v>
      </c>
      <c r="C33">
        <f>7+IFERROR(VLOOKUP(Dwellers[[#This Row],[Outfit]],Outfits[#All],2,FALSE),0)</f>
        <v>7</v>
      </c>
      <c r="D33">
        <f>2+IFERROR(VLOOKUP(Dwellers[[#This Row],[Outfit]],Outfits[#All],3,FALSE),0)</f>
        <v>3</v>
      </c>
      <c r="E33" s="3">
        <f>1+IFERROR(VLOOKUP(Dwellers[[#This Row],[Outfit]],Outfits[#All],4,FALSE),0)</f>
        <v>1</v>
      </c>
      <c r="F33" s="3">
        <f>1+IFERROR(VLOOKUP(Dwellers[[#This Row],[Outfit]],Outfits[#All],5,FALSE),0)</f>
        <v>1</v>
      </c>
      <c r="G33">
        <f>1+IFERROR(VLOOKUP(Dwellers[[#This Row],[Outfit]],Outfits[#All],6,FALSE),0)</f>
        <v>1</v>
      </c>
      <c r="H33">
        <f>1+IFERROR(VLOOKUP(Dwellers[[#This Row],[Outfit]],Outfits[#All],7,FALSE),0)</f>
        <v>2</v>
      </c>
      <c r="I33">
        <f>2+IFERROR(VLOOKUP(Dwellers[[#This Row],[Outfit]],Outfits[#All],8,FALSE),0)</f>
        <v>3</v>
      </c>
      <c r="J33" t="s">
        <v>30</v>
      </c>
      <c r="K33" t="s">
        <v>38</v>
      </c>
      <c r="L33" t="s">
        <v>141</v>
      </c>
      <c r="M33" t="s">
        <v>143</v>
      </c>
      <c r="P33" t="s">
        <v>89</v>
      </c>
      <c r="Q33" s="3">
        <f>IFERROR(MEDIAN(Dwellers[[#This Row],[S]:[L]]),"")</f>
        <v>2</v>
      </c>
      <c r="R33" s="3" t="str">
        <f>IFERROR(LARGE(Dwellers[[#This Row],[S]:[L]],1) &amp; " " &amp; INDEX(Dwellers[[#Headers],[S]:[L]],1,MATCH(LARGE(Dwellers[[#This Row],[S]:[L]],1),Dwellers[[#This Row],[S]:[L]],0)),"")</f>
        <v>7 S</v>
      </c>
      <c r="S33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1</v>
      </c>
    </row>
    <row r="34" spans="1:19" x14ac:dyDescent="0.25">
      <c r="A34" t="s">
        <v>176</v>
      </c>
      <c r="B34">
        <v>17</v>
      </c>
      <c r="C34">
        <f>1+IFERROR(VLOOKUP(Dwellers[[#This Row],[Outfit]],Outfits[#All],2,FALSE),0)</f>
        <v>1</v>
      </c>
      <c r="D34">
        <f>10+IFERROR(VLOOKUP(Dwellers[[#This Row],[Outfit]],Outfits[#All],3,FALSE),0)</f>
        <v>17</v>
      </c>
      <c r="E34" s="3">
        <f>1+IFERROR(VLOOKUP(Dwellers[[#This Row],[Outfit]],Outfits[#All],4,FALSE),0)</f>
        <v>1</v>
      </c>
      <c r="F34" s="3">
        <f>1+IFERROR(VLOOKUP(Dwellers[[#This Row],[Outfit]],Outfits[#All],5,FALSE),0)</f>
        <v>1</v>
      </c>
      <c r="G34">
        <f>2+IFERROR(VLOOKUP(Dwellers[[#This Row],[Outfit]],Outfits[#All],6,FALSE),0)</f>
        <v>2</v>
      </c>
      <c r="H34">
        <f>2+IFERROR(VLOOKUP(Dwellers[[#This Row],[Outfit]],Outfits[#All],7,FALSE),0)</f>
        <v>2</v>
      </c>
      <c r="I34">
        <f>1+IFERROR(VLOOKUP(Dwellers[[#This Row],[Outfit]],Outfits[#All],8,FALSE),0)</f>
        <v>1</v>
      </c>
      <c r="J34" t="s">
        <v>169</v>
      </c>
      <c r="K34" t="s">
        <v>177</v>
      </c>
      <c r="L34" t="s">
        <v>152</v>
      </c>
      <c r="M34" t="s">
        <v>173</v>
      </c>
      <c r="P34" t="s">
        <v>90</v>
      </c>
      <c r="Q34" s="3">
        <f>IFERROR(MEDIAN(Dwellers[[#This Row],[S]:[L]]),"")</f>
        <v>1</v>
      </c>
      <c r="R34" s="3" t="str">
        <f>IFERROR(LARGE(Dwellers[[#This Row],[S]:[L]],1) &amp; " " &amp; INDEX(Dwellers[[#Headers],[S]:[L]],1,MATCH(LARGE(Dwellers[[#This Row],[S]:[L]],1),Dwellers[[#This Row],[S]:[L]],0)),"")</f>
        <v>17 P</v>
      </c>
      <c r="S34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0</v>
      </c>
    </row>
    <row r="35" spans="1:19" x14ac:dyDescent="0.25">
      <c r="A35" t="s">
        <v>80</v>
      </c>
      <c r="B35">
        <v>5</v>
      </c>
      <c r="C35">
        <f>2+IFERROR(VLOOKUP(Dwellers[[#This Row],[Outfit]],Outfits[#All],2,FALSE),0)</f>
        <v>2</v>
      </c>
      <c r="D35">
        <f>2+IFERROR(VLOOKUP(Dwellers[[#This Row],[Outfit]],Outfits[#All],3,FALSE),0)</f>
        <v>2</v>
      </c>
      <c r="E35" s="3">
        <f>2+IFERROR(VLOOKUP(Dwellers[[#This Row],[Outfit]],Outfits[#All],4,FALSE),0)</f>
        <v>2</v>
      </c>
      <c r="F35" s="3">
        <f>10+IFERROR(VLOOKUP(Dwellers[[#This Row],[Outfit]],Outfits[#All],5,FALSE),0)</f>
        <v>15</v>
      </c>
      <c r="G35">
        <f>1+IFERROR(VLOOKUP(Dwellers[[#This Row],[Outfit]],Outfits[#All],6,FALSE),0)</f>
        <v>1</v>
      </c>
      <c r="H35">
        <f>2+IFERROR(VLOOKUP(Dwellers[[#This Row],[Outfit]],Outfits[#All],7,FALSE),0)</f>
        <v>2</v>
      </c>
      <c r="I35">
        <f>1+IFERROR(VLOOKUP(Dwellers[[#This Row],[Outfit]],Outfits[#All],8,FALSE),0)</f>
        <v>1</v>
      </c>
      <c r="J35" t="s">
        <v>75</v>
      </c>
      <c r="K35" t="s">
        <v>106</v>
      </c>
      <c r="L35" t="s">
        <v>50</v>
      </c>
      <c r="M35" t="s">
        <v>8</v>
      </c>
      <c r="P35" t="s">
        <v>90</v>
      </c>
      <c r="Q35" s="3">
        <f>IFERROR(MEDIAN(Dwellers[[#This Row],[S]:[L]]),"")</f>
        <v>2</v>
      </c>
      <c r="R35" s="3" t="str">
        <f>IFERROR(LARGE(Dwellers[[#This Row],[S]:[L]],1) &amp; " " &amp; INDEX(Dwellers[[#Headers],[S]:[L]],1,MATCH(LARGE(Dwellers[[#This Row],[S]:[L]],1),Dwellers[[#This Row],[S]:[L]],0)),"")</f>
        <v>15 C</v>
      </c>
      <c r="S35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1</v>
      </c>
    </row>
    <row r="36" spans="1:19" x14ac:dyDescent="0.25">
      <c r="A36" t="s">
        <v>167</v>
      </c>
      <c r="B36">
        <v>16</v>
      </c>
      <c r="C36">
        <f>2+IFERROR(VLOOKUP(Dwellers[[#This Row],[Outfit]],Outfits[#All],2,FALSE),0)</f>
        <v>2</v>
      </c>
      <c r="D36">
        <f>1+IFERROR(VLOOKUP(Dwellers[[#This Row],[Outfit]],Outfits[#All],3,FALSE),0)</f>
        <v>1</v>
      </c>
      <c r="E36" s="3">
        <f>2+IFERROR(VLOOKUP(Dwellers[[#This Row],[Outfit]],Outfits[#All],4,FALSE),0)</f>
        <v>2</v>
      </c>
      <c r="F36" s="3">
        <f>3+IFERROR(VLOOKUP(Dwellers[[#This Row],[Outfit]],Outfits[#All],5,FALSE),0)</f>
        <v>3</v>
      </c>
      <c r="G36">
        <f>1+IFERROR(VLOOKUP(Dwellers[[#This Row],[Outfit]],Outfits[#All],6,FALSE),0)</f>
        <v>1</v>
      </c>
      <c r="H36">
        <f>7+IFERROR(VLOOKUP(Dwellers[[#This Row],[Outfit]],Outfits[#All],7,FALSE),0)</f>
        <v>11</v>
      </c>
      <c r="I36">
        <f>1+IFERROR(VLOOKUP(Dwellers[[#This Row],[Outfit]],Outfits[#All],8,FALSE),0)</f>
        <v>1</v>
      </c>
      <c r="J36" t="s">
        <v>157</v>
      </c>
      <c r="K36" t="s">
        <v>166</v>
      </c>
      <c r="L36" t="s">
        <v>107</v>
      </c>
      <c r="M36" t="s">
        <v>16</v>
      </c>
      <c r="P36" t="s">
        <v>90</v>
      </c>
      <c r="Q36" s="3">
        <f>IFERROR(MEDIAN(Dwellers[[#This Row],[S]:[L]]),"")</f>
        <v>2</v>
      </c>
      <c r="R36" s="3" t="str">
        <f>IFERROR(LARGE(Dwellers[[#This Row],[S]:[L]],1) &amp; " " &amp; INDEX(Dwellers[[#Headers],[S]:[L]],1,MATCH(LARGE(Dwellers[[#This Row],[S]:[L]],1),Dwellers[[#This Row],[S]:[L]],0)),"")</f>
        <v>11 A</v>
      </c>
      <c r="S36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1</v>
      </c>
    </row>
    <row r="37" spans="1:19" x14ac:dyDescent="0.25">
      <c r="A37" t="s">
        <v>179</v>
      </c>
      <c r="B37">
        <v>14</v>
      </c>
      <c r="C37">
        <f>1+IFERROR(VLOOKUP(Dwellers[[#This Row],[Outfit]],Outfits[#All],2,FALSE),0)</f>
        <v>1</v>
      </c>
      <c r="D37">
        <f>6+IFERROR(VLOOKUP(Dwellers[[#This Row],[Outfit]],Outfits[#All],3,FALSE),0)</f>
        <v>8</v>
      </c>
      <c r="E37" s="3">
        <f>2+IFERROR(VLOOKUP(Dwellers[[#This Row],[Outfit]],Outfits[#All],4,FALSE),0)</f>
        <v>2</v>
      </c>
      <c r="F37" s="3">
        <f>3+IFERROR(VLOOKUP(Dwellers[[#This Row],[Outfit]],Outfits[#All],5,FALSE),0)</f>
        <v>5</v>
      </c>
      <c r="G37">
        <f>2+IFERROR(VLOOKUP(Dwellers[[#This Row],[Outfit]],Outfits[#All],6,FALSE),0)</f>
        <v>2</v>
      </c>
      <c r="H37">
        <f>1+IFERROR(VLOOKUP(Dwellers[[#This Row],[Outfit]],Outfits[#All],7,FALSE),0)</f>
        <v>1</v>
      </c>
      <c r="I37">
        <f>1+IFERROR(VLOOKUP(Dwellers[[#This Row],[Outfit]],Outfits[#All],8,FALSE),0)</f>
        <v>2</v>
      </c>
      <c r="J37" t="s">
        <v>169</v>
      </c>
      <c r="K37" t="s">
        <v>178</v>
      </c>
      <c r="L37" t="s">
        <v>124</v>
      </c>
      <c r="P37" t="s">
        <v>89</v>
      </c>
      <c r="Q37" s="3">
        <f>IFERROR(MEDIAN(Dwellers[[#This Row],[S]:[L]]),"")</f>
        <v>2</v>
      </c>
      <c r="R37" s="3" t="str">
        <f>IFERROR(LARGE(Dwellers[[#This Row],[S]:[L]],1) &amp; " " &amp; INDEX(Dwellers[[#Headers],[S]:[L]],1,MATCH(LARGE(Dwellers[[#This Row],[S]:[L]],1),Dwellers[[#This Row],[S]:[L]],0)),"")</f>
        <v>8 P</v>
      </c>
      <c r="S37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0</v>
      </c>
    </row>
    <row r="38" spans="1:19" x14ac:dyDescent="0.25">
      <c r="A38" t="s">
        <v>125</v>
      </c>
      <c r="B38">
        <v>14</v>
      </c>
      <c r="C38">
        <f>2+IFERROR(VLOOKUP(Dwellers[[#This Row],[Outfit]],Outfits[#All],2,FALSE),0)</f>
        <v>2</v>
      </c>
      <c r="D38">
        <f>9+IFERROR(VLOOKUP(Dwellers[[#This Row],[Outfit]],Outfits[#All],3,FALSE),0)</f>
        <v>11</v>
      </c>
      <c r="E38" s="3">
        <f>1+IFERROR(VLOOKUP(Dwellers[[#This Row],[Outfit]],Outfits[#All],4,FALSE),0)</f>
        <v>1</v>
      </c>
      <c r="F38" s="3">
        <f>1+IFERROR(VLOOKUP(Dwellers[[#This Row],[Outfit]],Outfits[#All],5,FALSE),0)</f>
        <v>1</v>
      </c>
      <c r="G38">
        <f>2+IFERROR(VLOOKUP(Dwellers[[#This Row],[Outfit]],Outfits[#All],6,FALSE),0)</f>
        <v>2</v>
      </c>
      <c r="H38">
        <f>22+IFERROR(VLOOKUP(Dwellers[[#This Row],[Outfit]],Outfits[#All],7,FALSE),0)</f>
        <v>22</v>
      </c>
      <c r="I38">
        <f>1+IFERROR(VLOOKUP(Dwellers[[#This Row],[Outfit]],Outfits[#All],8,FALSE),0)</f>
        <v>2</v>
      </c>
      <c r="J38" t="s">
        <v>115</v>
      </c>
      <c r="K38" t="s">
        <v>123</v>
      </c>
      <c r="L38" t="s">
        <v>124</v>
      </c>
      <c r="P38" t="s">
        <v>90</v>
      </c>
      <c r="Q38" s="3">
        <f>IFERROR(MEDIAN(Dwellers[[#This Row],[S]:[L]]),"")</f>
        <v>2</v>
      </c>
      <c r="R38" s="3" t="str">
        <f>IFERROR(LARGE(Dwellers[[#This Row],[S]:[L]],1) &amp; " " &amp; INDEX(Dwellers[[#Headers],[S]:[L]],1,MATCH(LARGE(Dwellers[[#This Row],[S]:[L]],1),Dwellers[[#This Row],[S]:[L]],0)),"")</f>
        <v>22 A</v>
      </c>
      <c r="S38" s="3" t="str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/>
      </c>
    </row>
    <row r="39" spans="1:19" x14ac:dyDescent="0.25">
      <c r="A39" t="s">
        <v>67</v>
      </c>
      <c r="B39">
        <v>19</v>
      </c>
      <c r="C39">
        <f>2+IFERROR(VLOOKUP(Dwellers[[#This Row],[Outfit]],Outfits[#All],2,FALSE),0)</f>
        <v>2</v>
      </c>
      <c r="D39">
        <f>2+IFERROR(VLOOKUP(Dwellers[[#This Row],[Outfit]],Outfits[#All],3,FALSE),0)</f>
        <v>2</v>
      </c>
      <c r="E39" s="3">
        <f>1+IFERROR(VLOOKUP(Dwellers[[#This Row],[Outfit]],Outfits[#All],4,FALSE),0)</f>
        <v>1</v>
      </c>
      <c r="F39" s="3">
        <f>2+IFERROR(VLOOKUP(Dwellers[[#This Row],[Outfit]],Outfits[#All],5,FALSE),0)</f>
        <v>5</v>
      </c>
      <c r="G39">
        <f>3+IFERROR(VLOOKUP(Dwellers[[#This Row],[Outfit]],Outfits[#All],6,FALSE),0)</f>
        <v>7</v>
      </c>
      <c r="H39">
        <f>1+IFERROR(VLOOKUP(Dwellers[[#This Row],[Outfit]],Outfits[#All],7,FALSE),0)</f>
        <v>1</v>
      </c>
      <c r="I39">
        <f>1+IFERROR(VLOOKUP(Dwellers[[#This Row],[Outfit]],Outfits[#All],8,FALSE),0)</f>
        <v>1</v>
      </c>
      <c r="J39" t="s">
        <v>63</v>
      </c>
      <c r="K39" t="s">
        <v>68</v>
      </c>
      <c r="L39" t="s">
        <v>69</v>
      </c>
      <c r="M39" t="s">
        <v>71</v>
      </c>
      <c r="P39" t="s">
        <v>90</v>
      </c>
      <c r="Q39">
        <f>IFERROR(MEDIAN(Dwellers[[#This Row],[S]:[L]]),"")</f>
        <v>2</v>
      </c>
      <c r="R39" t="str">
        <f>IFERROR(LARGE(Dwellers[[#This Row],[S]:[L]],1) &amp; " " &amp; INDEX(Dwellers[[#Headers],[S]:[L]],1,MATCH(LARGE(Dwellers[[#This Row],[S]:[L]],1),Dwellers[[#This Row],[S]:[L]],0)),"")</f>
        <v>7 I</v>
      </c>
      <c r="S39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1</v>
      </c>
    </row>
    <row r="40" spans="1:19" x14ac:dyDescent="0.25">
      <c r="A40" t="s">
        <v>76</v>
      </c>
      <c r="B40">
        <v>1</v>
      </c>
      <c r="C40">
        <f>1+IFERROR(VLOOKUP(Dwellers[[#This Row],[Outfit]],Outfits[#All],2,FALSE),0)</f>
        <v>1</v>
      </c>
      <c r="D40">
        <f>1+IFERROR(VLOOKUP(Dwellers[[#This Row],[Outfit]],Outfits[#All],3,FALSE),0)</f>
        <v>1</v>
      </c>
      <c r="E40" s="3">
        <f>2+IFERROR(VLOOKUP(Dwellers[[#This Row],[Outfit]],Outfits[#All],4,FALSE),0)</f>
        <v>2</v>
      </c>
      <c r="F40" s="3">
        <f>2+IFERROR(VLOOKUP(Dwellers[[#This Row],[Outfit]],Outfits[#All],5,FALSE),0)</f>
        <v>5</v>
      </c>
      <c r="G40">
        <f>1+IFERROR(VLOOKUP(Dwellers[[#This Row],[Outfit]],Outfits[#All],6,FALSE),0)</f>
        <v>1</v>
      </c>
      <c r="H40">
        <f>2+IFERROR(VLOOKUP(Dwellers[[#This Row],[Outfit]],Outfits[#All],7,FALSE),0)</f>
        <v>2</v>
      </c>
      <c r="I40">
        <f>3+IFERROR(VLOOKUP(Dwellers[[#This Row],[Outfit]],Outfits[#All],8,FALSE),0)</f>
        <v>3</v>
      </c>
      <c r="J40" t="s">
        <v>105</v>
      </c>
      <c r="K40" t="s">
        <v>77</v>
      </c>
      <c r="L40" t="s">
        <v>78</v>
      </c>
      <c r="M40" t="s">
        <v>18</v>
      </c>
      <c r="N40" t="s">
        <v>17</v>
      </c>
      <c r="O40" t="s">
        <v>37</v>
      </c>
      <c r="P40" t="s">
        <v>90</v>
      </c>
      <c r="Q40">
        <f>IFERROR(MEDIAN(Dwellers[[#This Row],[S]:[L]]),"")</f>
        <v>2</v>
      </c>
      <c r="R40" t="str">
        <f>IFERROR(LARGE(Dwellers[[#This Row],[S]:[L]],1) &amp; " " &amp; INDEX(Dwellers[[#Headers],[S]:[L]],1,MATCH(LARGE(Dwellers[[#This Row],[S]:[L]],1),Dwellers[[#This Row],[S]:[L]],0)),"")</f>
        <v>5 C</v>
      </c>
      <c r="S40" t="str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/>
      </c>
    </row>
    <row r="41" spans="1:19" x14ac:dyDescent="0.25">
      <c r="A41" t="s">
        <v>165</v>
      </c>
      <c r="B41">
        <v>19</v>
      </c>
      <c r="C41">
        <f>1+IFERROR(VLOOKUP(Dwellers[[#This Row],[Outfit]],Outfits[#All],2,FALSE),0)</f>
        <v>1</v>
      </c>
      <c r="D41">
        <f>1+IFERROR(VLOOKUP(Dwellers[[#This Row],[Outfit]],Outfits[#All],3,FALSE),0)</f>
        <v>1</v>
      </c>
      <c r="E41" s="3">
        <f>1+IFERROR(VLOOKUP(Dwellers[[#This Row],[Outfit]],Outfits[#All],4,FALSE),0)</f>
        <v>1</v>
      </c>
      <c r="F41" s="3">
        <f>1+IFERROR(VLOOKUP(Dwellers[[#This Row],[Outfit]],Outfits[#All],5,FALSE),0)</f>
        <v>1</v>
      </c>
      <c r="G41">
        <f>2+IFERROR(VLOOKUP(Dwellers[[#This Row],[Outfit]],Outfits[#All],6,FALSE),0)</f>
        <v>2</v>
      </c>
      <c r="H41">
        <f>5+IFERROR(VLOOKUP(Dwellers[[#This Row],[Outfit]],Outfits[#All],7,FALSE),0)</f>
        <v>8</v>
      </c>
      <c r="I41">
        <f>2+IFERROR(VLOOKUP(Dwellers[[#This Row],[Outfit]],Outfits[#All],8,FALSE),0)</f>
        <v>2</v>
      </c>
      <c r="J41" t="s">
        <v>157</v>
      </c>
      <c r="K41" t="s">
        <v>164</v>
      </c>
      <c r="L41" t="s">
        <v>78</v>
      </c>
      <c r="P41" t="s">
        <v>89</v>
      </c>
      <c r="Q41" s="3">
        <f>IFERROR(MEDIAN(Dwellers[[#This Row],[S]:[L]]),"")</f>
        <v>1</v>
      </c>
      <c r="R41" s="3" t="str">
        <f>IFERROR(LARGE(Dwellers[[#This Row],[S]:[L]],1) &amp; " " &amp; INDEX(Dwellers[[#Headers],[S]:[L]],1,MATCH(LARGE(Dwellers[[#This Row],[S]:[L]],1),Dwellers[[#This Row],[S]:[L]],0)),"")</f>
        <v>8 A</v>
      </c>
      <c r="S41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1</v>
      </c>
    </row>
    <row r="42" spans="1:19" x14ac:dyDescent="0.25">
      <c r="A42" t="s">
        <v>172</v>
      </c>
      <c r="B42">
        <v>8</v>
      </c>
      <c r="C42">
        <f>2+IFERROR(VLOOKUP(Dwellers[[#This Row],[Outfit]],Outfits[#All],2,FALSE),0)</f>
        <v>2</v>
      </c>
      <c r="D42">
        <f>3+IFERROR(VLOOKUP(Dwellers[[#This Row],[Outfit]],Outfits[#All],3,FALSE),0)</f>
        <v>4</v>
      </c>
      <c r="E42" s="3">
        <f>2+IFERROR(VLOOKUP(Dwellers[[#This Row],[Outfit]],Outfits[#All],4,FALSE),0)</f>
        <v>2</v>
      </c>
      <c r="F42" s="3">
        <f>2+IFERROR(VLOOKUP(Dwellers[[#This Row],[Outfit]],Outfits[#All],5,FALSE),0)</f>
        <v>2</v>
      </c>
      <c r="G42">
        <f>1+IFERROR(VLOOKUP(Dwellers[[#This Row],[Outfit]],Outfits[#All],6,FALSE),0)</f>
        <v>1</v>
      </c>
      <c r="H42">
        <f>1+IFERROR(VLOOKUP(Dwellers[[#This Row],[Outfit]],Outfits[#All],7,FALSE),0)</f>
        <v>2</v>
      </c>
      <c r="I42">
        <f>1+IFERROR(VLOOKUP(Dwellers[[#This Row],[Outfit]],Outfits[#All],8,FALSE),0)</f>
        <v>2</v>
      </c>
      <c r="J42" t="s">
        <v>169</v>
      </c>
      <c r="K42" t="s">
        <v>38</v>
      </c>
      <c r="L42" t="s">
        <v>170</v>
      </c>
      <c r="N42" t="s">
        <v>173</v>
      </c>
      <c r="O42" t="s">
        <v>174</v>
      </c>
      <c r="P42" t="s">
        <v>89</v>
      </c>
      <c r="Q42" s="3">
        <f>IFERROR(MEDIAN(Dwellers[[#This Row],[S]:[L]]),"")</f>
        <v>2</v>
      </c>
      <c r="R42" s="3" t="str">
        <f>IFERROR(LARGE(Dwellers[[#This Row],[S]:[L]],1) &amp; " " &amp; INDEX(Dwellers[[#Headers],[S]:[L]],1,MATCH(LARGE(Dwellers[[#This Row],[S]:[L]],1),Dwellers[[#This Row],[S]:[L]],0)),"")</f>
        <v>4 P</v>
      </c>
      <c r="S42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0</v>
      </c>
    </row>
    <row r="43" spans="1:19" x14ac:dyDescent="0.25">
      <c r="A43" t="s">
        <v>138</v>
      </c>
      <c r="B43">
        <v>13</v>
      </c>
      <c r="C43">
        <f>3+IFERROR(VLOOKUP(Dwellers[[#This Row],[Outfit]],Outfits[#All],2,FALSE),0)</f>
        <v>5</v>
      </c>
      <c r="D43">
        <f>2+IFERROR(VLOOKUP(Dwellers[[#This Row],[Outfit]],Outfits[#All],3,FALSE),0)</f>
        <v>2</v>
      </c>
      <c r="E43" s="3">
        <f>4+IFERROR(VLOOKUP(Dwellers[[#This Row],[Outfit]],Outfits[#All],4,FALSE),0)</f>
        <v>5</v>
      </c>
      <c r="F43" s="3">
        <f>3+IFERROR(VLOOKUP(Dwellers[[#This Row],[Outfit]],Outfits[#All],5,FALSE),0)</f>
        <v>3</v>
      </c>
      <c r="G43">
        <f>3+IFERROR(VLOOKUP(Dwellers[[#This Row],[Outfit]],Outfits[#All],6,FALSE),0)</f>
        <v>3</v>
      </c>
      <c r="H43">
        <f>2+IFERROR(VLOOKUP(Dwellers[[#This Row],[Outfit]],Outfits[#All],7,FALSE),0)</f>
        <v>2</v>
      </c>
      <c r="I43">
        <f>2+IFERROR(VLOOKUP(Dwellers[[#This Row],[Outfit]],Outfits[#All],8,FALSE),0)</f>
        <v>2</v>
      </c>
      <c r="J43" t="s">
        <v>30</v>
      </c>
      <c r="K43" t="s">
        <v>130</v>
      </c>
      <c r="L43" t="s">
        <v>124</v>
      </c>
      <c r="N43" t="s">
        <v>17</v>
      </c>
      <c r="O43" t="s">
        <v>37</v>
      </c>
      <c r="P43" t="s">
        <v>90</v>
      </c>
      <c r="Q43" s="3">
        <f>IFERROR(MEDIAN(Dwellers[[#This Row],[S]:[L]]),"")</f>
        <v>3</v>
      </c>
      <c r="R43" s="3" t="str">
        <f>IFERROR(LARGE(Dwellers[[#This Row],[S]:[L]],1) &amp; " " &amp; INDEX(Dwellers[[#Headers],[S]:[L]],1,MATCH(LARGE(Dwellers[[#This Row],[S]:[L]],1),Dwellers[[#This Row],[S]:[L]],0)),"")</f>
        <v>5 S</v>
      </c>
      <c r="S43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1</v>
      </c>
    </row>
    <row r="44" spans="1:19" x14ac:dyDescent="0.25">
      <c r="A44" t="s">
        <v>153</v>
      </c>
      <c r="B44">
        <v>17</v>
      </c>
      <c r="C44">
        <f>2+IFERROR(VLOOKUP(Dwellers[[#This Row],[Outfit]],Outfits[#All],2,FALSE),0)</f>
        <v>2</v>
      </c>
      <c r="D44">
        <f>3+IFERROR(VLOOKUP(Dwellers[[#This Row],[Outfit]],Outfits[#All],3,FALSE),0)</f>
        <v>4</v>
      </c>
      <c r="E44" s="3">
        <f>2+IFERROR(VLOOKUP(Dwellers[[#This Row],[Outfit]],Outfits[#All],4,FALSE),0)</f>
        <v>2</v>
      </c>
      <c r="F44" s="3">
        <f>2+IFERROR(VLOOKUP(Dwellers[[#This Row],[Outfit]],Outfits[#All],5,FALSE),0)</f>
        <v>2</v>
      </c>
      <c r="G44">
        <f>1+IFERROR(VLOOKUP(Dwellers[[#This Row],[Outfit]],Outfits[#All],6,FALSE),0)</f>
        <v>1</v>
      </c>
      <c r="H44">
        <f>1+IFERROR(VLOOKUP(Dwellers[[#This Row],[Outfit]],Outfits[#All],7,FALSE),0)</f>
        <v>2</v>
      </c>
      <c r="I44">
        <f>1+IFERROR(VLOOKUP(Dwellers[[#This Row],[Outfit]],Outfits[#All],8,FALSE),0)</f>
        <v>2</v>
      </c>
      <c r="J44" t="s">
        <v>31</v>
      </c>
      <c r="K44" t="s">
        <v>38</v>
      </c>
      <c r="L44" t="s">
        <v>152</v>
      </c>
      <c r="P44" t="s">
        <v>89</v>
      </c>
      <c r="Q44" s="3">
        <f>IFERROR(MEDIAN(Dwellers[[#This Row],[S]:[L]]),"")</f>
        <v>2</v>
      </c>
      <c r="R44" s="3" t="str">
        <f>IFERROR(LARGE(Dwellers[[#This Row],[S]:[L]],1) &amp; " " &amp; INDEX(Dwellers[[#Headers],[S]:[L]],1,MATCH(LARGE(Dwellers[[#This Row],[S]:[L]],1),Dwellers[[#This Row],[S]:[L]],0)),"")</f>
        <v>4 P</v>
      </c>
      <c r="S44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0</v>
      </c>
    </row>
    <row r="45" spans="1:19" x14ac:dyDescent="0.25">
      <c r="A45" t="s">
        <v>183</v>
      </c>
      <c r="B45">
        <v>19</v>
      </c>
      <c r="C45">
        <f>3+IFERROR(VLOOKUP(Dwellers[[#This Row],[Outfit]],Outfits[#All],2,FALSE),0)</f>
        <v>3</v>
      </c>
      <c r="D45">
        <f>7+IFERROR(VLOOKUP(Dwellers[[#This Row],[Outfit]],Outfits[#All],3,FALSE),0)</f>
        <v>8</v>
      </c>
      <c r="E45" s="3">
        <f>3+IFERROR(VLOOKUP(Dwellers[[#This Row],[Outfit]],Outfits[#All],4,FALSE),0)</f>
        <v>5</v>
      </c>
      <c r="F45" s="3">
        <f>6+IFERROR(VLOOKUP(Dwellers[[#This Row],[Outfit]],Outfits[#All],5,FALSE),0)</f>
        <v>6</v>
      </c>
      <c r="G45">
        <f>2+IFERROR(VLOOKUP(Dwellers[[#This Row],[Outfit]],Outfits[#All],6,FALSE),0)</f>
        <v>2</v>
      </c>
      <c r="H45">
        <f>3+IFERROR(VLOOKUP(Dwellers[[#This Row],[Outfit]],Outfits[#All],7,FALSE),0)</f>
        <v>3</v>
      </c>
      <c r="I45">
        <f>4+IFERROR(VLOOKUP(Dwellers[[#This Row],[Outfit]],Outfits[#All],8,FALSE),0)</f>
        <v>4</v>
      </c>
      <c r="J45" t="s">
        <v>169</v>
      </c>
      <c r="K45" t="s">
        <v>180</v>
      </c>
      <c r="L45" t="s">
        <v>181</v>
      </c>
      <c r="P45" t="s">
        <v>89</v>
      </c>
      <c r="Q45" s="3">
        <f>IFERROR(MEDIAN(Dwellers[[#This Row],[S]:[L]]),"")</f>
        <v>4</v>
      </c>
      <c r="R45" s="3" t="str">
        <f>IFERROR(LARGE(Dwellers[[#This Row],[S]:[L]],1) &amp; " " &amp; INDEX(Dwellers[[#Headers],[S]:[L]],1,MATCH(LARGE(Dwellers[[#This Row],[S]:[L]],1),Dwellers[[#This Row],[S]:[L]],0)),"")</f>
        <v>8 P</v>
      </c>
      <c r="S45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0</v>
      </c>
    </row>
    <row r="46" spans="1:19" x14ac:dyDescent="0.25">
      <c r="A46" t="s">
        <v>118</v>
      </c>
      <c r="B46">
        <v>10</v>
      </c>
      <c r="C46">
        <f>1+IFERROR(VLOOKUP(Dwellers[[#This Row],[Outfit]],Outfits[#All],2,FALSE),0)</f>
        <v>1</v>
      </c>
      <c r="D46">
        <f>1+IFERROR(VLOOKUP(Dwellers[[#This Row],[Outfit]],Outfits[#All],3,FALSE),0)</f>
        <v>2</v>
      </c>
      <c r="E46" s="3">
        <f>2+IFERROR(VLOOKUP(Dwellers[[#This Row],[Outfit]],Outfits[#All],4,FALSE),0)</f>
        <v>2</v>
      </c>
      <c r="F46" s="3">
        <f>1+IFERROR(VLOOKUP(Dwellers[[#This Row],[Outfit]],Outfits[#All],5,FALSE),0)</f>
        <v>1</v>
      </c>
      <c r="G46">
        <f>2+IFERROR(VLOOKUP(Dwellers[[#This Row],[Outfit]],Outfits[#All],6,FALSE),0)</f>
        <v>2</v>
      </c>
      <c r="H46">
        <f>9+IFERROR(VLOOKUP(Dwellers[[#This Row],[Outfit]],Outfits[#All],7,FALSE),0)</f>
        <v>10</v>
      </c>
      <c r="I46">
        <f>3+IFERROR(VLOOKUP(Dwellers[[#This Row],[Outfit]],Outfits[#All],8,FALSE),0)</f>
        <v>4</v>
      </c>
      <c r="J46" t="s">
        <v>114</v>
      </c>
      <c r="K46" t="s">
        <v>38</v>
      </c>
      <c r="L46" t="s">
        <v>78</v>
      </c>
      <c r="P46" t="s">
        <v>89</v>
      </c>
      <c r="Q46" s="3">
        <f>IFERROR(MEDIAN(Dwellers[[#This Row],[S]:[L]]),"")</f>
        <v>2</v>
      </c>
      <c r="R46" s="3" t="str">
        <f>IFERROR(LARGE(Dwellers[[#This Row],[S]:[L]],1) &amp; " " &amp; INDEX(Dwellers[[#Headers],[S]:[L]],1,MATCH(LARGE(Dwellers[[#This Row],[S]:[L]],1),Dwellers[[#This Row],[S]:[L]],0)),"")</f>
        <v>10 A</v>
      </c>
      <c r="S46" s="3" t="str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/>
      </c>
    </row>
  </sheetData>
  <conditionalFormatting sqref="L1:L196">
    <cfRule type="cellIs" dxfId="10" priority="8" operator="equal">
      <formula>"Fist"</formula>
    </cfRule>
  </conditionalFormatting>
  <conditionalFormatting sqref="J2:J46">
    <cfRule type="expression" dxfId="9" priority="1">
      <formula>$S2=FALSE</formula>
    </cfRule>
    <cfRule type="expression" dxfId="8" priority="2">
      <formula>$S2=TRUE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4546E69-B4BE-4C10-9B11-EFA0A89A1B73}">
          <x14:formula1>
            <xm:f>Builds!$A$2:$A$100</xm:f>
          </x14:formula1>
          <xm:sqref>J2:J46</xm:sqref>
        </x14:dataValidation>
        <x14:dataValidation type="list" allowBlank="1" showInputMessage="1" showErrorMessage="1" promptTitle="Selecione a roupa" xr:uid="{09FDD820-9B64-480B-9C05-0BAA81592E9D}">
          <x14:formula1>
            <xm:f>Outfit!$A$2:$A$97</xm:f>
          </x14:formula1>
          <xm:sqref>K2:K46</xm:sqref>
        </x14:dataValidation>
        <x14:dataValidation type="list" allowBlank="1" showInputMessage="1" showErrorMessage="1" xr:uid="{084A5353-F76E-48D6-89F3-FFBD1D9B9FFF}">
          <x14:formula1>
            <xm:f>Weapons!$A$2:$A$99</xm:f>
          </x14:formula1>
          <xm:sqref>L2:L46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16C80-6950-4C89-90A0-1628E8C28E4F}">
  <sheetPr codeName="Planilha5"/>
  <dimension ref="A1:I32"/>
  <sheetViews>
    <sheetView topLeftCell="A12" workbookViewId="0">
      <selection activeCell="I28" sqref="I28"/>
    </sheetView>
  </sheetViews>
  <sheetFormatPr defaultRowHeight="15" x14ac:dyDescent="0.25"/>
  <cols>
    <col min="1" max="1" width="25.85546875" customWidth="1"/>
    <col min="2" max="2" width="4.140625" customWidth="1"/>
    <col min="3" max="3" width="4.28515625" customWidth="1"/>
    <col min="4" max="4" width="4.140625" customWidth="1"/>
    <col min="5" max="5" width="4.28515625" customWidth="1"/>
    <col min="6" max="6" width="3.7109375" customWidth="1"/>
    <col min="7" max="7" width="4.42578125" customWidth="1"/>
    <col min="8" max="8" width="4" customWidth="1"/>
  </cols>
  <sheetData>
    <row r="1" spans="1:9" x14ac:dyDescent="0.25">
      <c r="A1" t="s">
        <v>13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0</v>
      </c>
    </row>
    <row r="2" spans="1:9" x14ac:dyDescent="0.25">
      <c r="A2" t="s">
        <v>175</v>
      </c>
      <c r="C2">
        <v>4</v>
      </c>
      <c r="I2" s="3" t="str">
        <f>IFERROR(INDEX(Dwellers[[Dweller]:[Outfit]],MATCH(Outfits[[#This Row],[Outfit]],Dwellers[Outfit],0),1),"")</f>
        <v>Mr. Green</v>
      </c>
    </row>
    <row r="3" spans="1:9" x14ac:dyDescent="0.25">
      <c r="A3" t="s">
        <v>46</v>
      </c>
      <c r="B3">
        <v>0</v>
      </c>
      <c r="C3">
        <v>0</v>
      </c>
      <c r="D3">
        <v>0</v>
      </c>
      <c r="E3">
        <v>0</v>
      </c>
      <c r="F3">
        <v>5</v>
      </c>
      <c r="G3">
        <v>0</v>
      </c>
      <c r="H3">
        <v>0</v>
      </c>
      <c r="I3" t="str">
        <f>IFERROR(INDEX(Dwellers[[Dweller]:[Outfit]],MATCH(Outfits[[#This Row],[Outfit]],Dwellers[Outfit],0),1),"")</f>
        <v>Julia C. Walker</v>
      </c>
    </row>
    <row r="4" spans="1:9" x14ac:dyDescent="0.25">
      <c r="A4" t="s">
        <v>54</v>
      </c>
      <c r="C4">
        <v>3</v>
      </c>
      <c r="I4" t="str">
        <f>IFERROR(INDEX(Dwellers[[Dweller]:[Outfit]],MATCH(Outfits[[#This Row],[Outfit]],Dwellers[Outfit],0),1),"")</f>
        <v>~Sd. Young</v>
      </c>
    </row>
    <row r="5" spans="1:9" x14ac:dyDescent="0.25">
      <c r="A5" t="s">
        <v>130</v>
      </c>
      <c r="B5">
        <v>2</v>
      </c>
      <c r="D5">
        <v>1</v>
      </c>
      <c r="I5" s="3" t="str">
        <f>IFERROR(INDEX(Dwellers[[Dweller]:[Outfit]],MATCH(Outfits[[#This Row],[Outfit]],Dwellers[Outfit],0),1),"")</f>
        <v>~Sd. Garry Longfellow</v>
      </c>
    </row>
    <row r="6" spans="1:9" x14ac:dyDescent="0.25">
      <c r="A6" t="s">
        <v>109</v>
      </c>
      <c r="E6">
        <v>4</v>
      </c>
      <c r="H6">
        <v>1</v>
      </c>
      <c r="I6" s="3" t="str">
        <f>IFERROR(INDEX(Dwellers[[Dweller]:[Outfit]],MATCH(Outfits[[#This Row],[Outfit]],Dwellers[Outfit],0),1),"")</f>
        <v>Charles Tenpenny</v>
      </c>
    </row>
    <row r="7" spans="1:9" x14ac:dyDescent="0.25">
      <c r="A7" t="s">
        <v>134</v>
      </c>
      <c r="B7">
        <v>2</v>
      </c>
      <c r="G7">
        <v>1</v>
      </c>
      <c r="I7" s="3" t="str">
        <f>IFERROR(INDEX(Dwellers[[Dweller]:[Outfit]],MATCH(Outfits[[#This Row],[Outfit]],Dwellers[Outfit],0),1),"")</f>
        <v>Jordan J Y Longfellow</v>
      </c>
    </row>
    <row r="8" spans="1:9" x14ac:dyDescent="0.25">
      <c r="A8" t="s">
        <v>68</v>
      </c>
      <c r="E8">
        <v>3</v>
      </c>
      <c r="F8">
        <v>4</v>
      </c>
      <c r="I8" t="str">
        <f>IFERROR(INDEX(Dwellers[[Dweller]:[Outfit]],MATCH(Outfits[[#This Row],[Outfit]],Dwellers[Outfit],0),1),"")</f>
        <v>Rebecca D. Hawkins</v>
      </c>
    </row>
    <row r="9" spans="1:9" x14ac:dyDescent="0.25">
      <c r="A9" t="s">
        <v>186</v>
      </c>
      <c r="B9">
        <v>4</v>
      </c>
      <c r="I9" s="3" t="str">
        <f>IFERROR(INDEX(Dwellers[[Dweller]:[Outfit]],MATCH(Outfits[[#This Row],[Outfit]],Dwellers[Outfit],0),1),"")</f>
        <v>Alice Snyder</v>
      </c>
    </row>
    <row r="10" spans="1:9" x14ac:dyDescent="0.25">
      <c r="A10" t="s">
        <v>65</v>
      </c>
      <c r="D10">
        <v>2</v>
      </c>
      <c r="F10">
        <v>2</v>
      </c>
      <c r="H10">
        <v>1</v>
      </c>
      <c r="I10" t="str">
        <f>IFERROR(INDEX(Dwellers[[Dweller]:[Outfit]],MATCH(Outfits[[#This Row],[Outfit]],Dwellers[Outfit],0),1),"")</f>
        <v>Joana T. Englund</v>
      </c>
    </row>
    <row r="11" spans="1:9" x14ac:dyDescent="0.25">
      <c r="A11" t="s">
        <v>164</v>
      </c>
      <c r="G11">
        <v>3</v>
      </c>
      <c r="I11" s="3" t="str">
        <f>IFERROR(INDEX(Dwellers[[Dweller]:[Outfit]],MATCH(Outfits[[#This Row],[Outfit]],Dwellers[Outfit],0),1),"")</f>
        <v>Jose M Tenpenny</v>
      </c>
    </row>
    <row r="12" spans="1:9" x14ac:dyDescent="0.25">
      <c r="A12" t="s">
        <v>177</v>
      </c>
      <c r="C12">
        <v>7</v>
      </c>
      <c r="I12" s="3" t="str">
        <f>IFERROR(INDEX(Dwellers[[Dweller]:[Outfit]],MATCH(Outfits[[#This Row],[Outfit]],Dwellers[Outfit],0),1),"")</f>
        <v>Ms. G. J. Green</v>
      </c>
    </row>
    <row r="13" spans="1:9" x14ac:dyDescent="0.25">
      <c r="A13" t="s">
        <v>128</v>
      </c>
      <c r="D13">
        <v>4</v>
      </c>
      <c r="H13">
        <v>1</v>
      </c>
      <c r="I13" s="3" t="str">
        <f>IFERROR(INDEX(Dwellers[[Dweller]:[Outfit]],MATCH(Outfits[[#This Row],[Outfit]],Dwellers[Outfit],0),1),"")</f>
        <v>~Sd. Wes Englund</v>
      </c>
    </row>
    <row r="14" spans="1:9" x14ac:dyDescent="0.25">
      <c r="A14" t="s">
        <v>162</v>
      </c>
      <c r="E14">
        <v>2</v>
      </c>
      <c r="G14">
        <v>1</v>
      </c>
      <c r="I14" s="3" t="str">
        <f>IFERROR(INDEX(Dwellers[[Dweller]:[Outfit]],MATCH(Outfits[[#This Row],[Outfit]],Dwellers[Outfit],0),1),"")</f>
        <v>Axelle Tenpenny</v>
      </c>
    </row>
    <row r="15" spans="1:9" x14ac:dyDescent="0.25">
      <c r="A15" t="s">
        <v>119</v>
      </c>
      <c r="B15">
        <v>2</v>
      </c>
      <c r="C15">
        <v>2</v>
      </c>
      <c r="H15">
        <v>1</v>
      </c>
      <c r="I15" s="3" t="str">
        <f>IFERROR(INDEX(Dwellers[[Dweller]:[Outfit]],MATCH(Outfits[[#This Row],[Outfit]],Dwellers[Outfit],0),1),"")</f>
        <v>~Sd. Payne</v>
      </c>
    </row>
    <row r="16" spans="1:9" x14ac:dyDescent="0.25">
      <c r="A16" t="s">
        <v>126</v>
      </c>
      <c r="F16">
        <v>3</v>
      </c>
      <c r="I16" s="3" t="str">
        <f>IFERROR(INDEX(Dwellers[[Dweller]:[Outfit]],MATCH(Outfits[[#This Row],[Outfit]],Dwellers[Outfit],0),1),"")</f>
        <v>Joan T. Englund</v>
      </c>
    </row>
    <row r="17" spans="1:9" x14ac:dyDescent="0.25">
      <c r="A17" t="s">
        <v>154</v>
      </c>
      <c r="I17" s="3" t="str">
        <f>IFERROR(INDEX(Dwellers[[Dweller]:[Outfit]],MATCH(Outfits[[#This Row],[Outfit]],Dwellers[Outfit],0),1),"")</f>
        <v>Erick Hawkins</v>
      </c>
    </row>
    <row r="18" spans="1:9" x14ac:dyDescent="0.25">
      <c r="A18" t="s">
        <v>178</v>
      </c>
      <c r="C18">
        <v>2</v>
      </c>
      <c r="E18">
        <v>2</v>
      </c>
      <c r="H18">
        <v>1</v>
      </c>
      <c r="I18" s="3" t="str">
        <f>IFERROR(INDEX(Dwellers[[Dweller]:[Outfit]],MATCH(Outfits[[#This Row],[Outfit]],Dwellers[Outfit],0),1),"")</f>
        <v>Nicholas Mitchell</v>
      </c>
    </row>
    <row r="19" spans="1:9" x14ac:dyDescent="0.25">
      <c r="A19" t="s">
        <v>38</v>
      </c>
      <c r="B19">
        <v>0</v>
      </c>
      <c r="C19">
        <v>1</v>
      </c>
      <c r="D19">
        <v>0</v>
      </c>
      <c r="E19">
        <v>0</v>
      </c>
      <c r="F19">
        <v>0</v>
      </c>
      <c r="G19">
        <v>1</v>
      </c>
      <c r="H19">
        <v>1</v>
      </c>
      <c r="I19" t="str">
        <f>IFERROR(INDEX(Dwellers[[Dweller]:[Outfit]],MATCH(Outfits[[#This Row],[Outfit]],Dwellers[Outfit],0),1),"")</f>
        <v>~Sd. Jenny L. Graham</v>
      </c>
    </row>
    <row r="20" spans="1:9" x14ac:dyDescent="0.25">
      <c r="A20" t="s">
        <v>139</v>
      </c>
      <c r="B20">
        <v>3</v>
      </c>
      <c r="I20" s="3" t="str">
        <f>IFERROR(INDEX(Dwellers[[Dweller]:[Outfit]],MATCH(Outfits[[#This Row],[Outfit]],Dwellers[Outfit],0),1),"")</f>
        <v>Dorothy Tenpenny</v>
      </c>
    </row>
    <row r="21" spans="1:9" x14ac:dyDescent="0.25">
      <c r="A21" t="s">
        <v>106</v>
      </c>
      <c r="E21">
        <v>5</v>
      </c>
      <c r="I21" s="3" t="str">
        <f>IFERROR(INDEX(Dwellers[[Dweller]:[Outfit]],MATCH(Outfits[[#This Row],[Outfit]],Dwellers[Outfit],0),1),"")</f>
        <v>Bruce Longfellow</v>
      </c>
    </row>
    <row r="22" spans="1:9" x14ac:dyDescent="0.25">
      <c r="A22" t="s">
        <v>77</v>
      </c>
      <c r="E22">
        <v>3</v>
      </c>
      <c r="I22" t="str">
        <f>IFERROR(INDEX(Dwellers[[Dweller]:[Outfit]],MATCH(Outfits[[#This Row],[Outfit]],Dwellers[Outfit],0),1),"")</f>
        <v>Rebecca L. Graham</v>
      </c>
    </row>
    <row r="23" spans="1:9" x14ac:dyDescent="0.25">
      <c r="A23" t="s">
        <v>49</v>
      </c>
      <c r="B23">
        <v>0</v>
      </c>
      <c r="C23">
        <v>0</v>
      </c>
      <c r="D23">
        <v>0</v>
      </c>
      <c r="E23">
        <v>2</v>
      </c>
      <c r="F23">
        <v>3</v>
      </c>
      <c r="I23" t="str">
        <f>IFERROR(INDEX(Dwellers[[Dweller]:[Outfit]],MATCH(Outfits[[#This Row],[Outfit]],Dwellers[Outfit],0),1),"")</f>
        <v>Madison Walker</v>
      </c>
    </row>
    <row r="24" spans="1:9" x14ac:dyDescent="0.25">
      <c r="A24" t="s">
        <v>180</v>
      </c>
      <c r="C24">
        <v>1</v>
      </c>
      <c r="D24">
        <v>2</v>
      </c>
      <c r="I24" s="3" t="str">
        <f>IFERROR(INDEX(Dwellers[[Dweller]:[Outfit]],MATCH(Outfits[[#This Row],[Outfit]],Dwellers[Outfit],0),1),"")</f>
        <v>Sean day</v>
      </c>
    </row>
    <row r="25" spans="1:9" x14ac:dyDescent="0.25">
      <c r="A25" t="s">
        <v>148</v>
      </c>
      <c r="I25" s="3" t="str">
        <f>IFERROR(INDEX(Dwellers[[Dweller]:[Outfit]],MATCH(Outfits[[#This Row],[Outfit]],Dwellers[Outfit],0),1),"")</f>
        <v>David Newton</v>
      </c>
    </row>
    <row r="26" spans="1:9" x14ac:dyDescent="0.25">
      <c r="A26" t="s">
        <v>144</v>
      </c>
      <c r="B26">
        <v>3</v>
      </c>
      <c r="G26">
        <v>2</v>
      </c>
      <c r="I26" s="3" t="str">
        <f>IFERROR(INDEX(Dwellers[[Dweller]:[Outfit]],MATCH(Outfits[[#This Row],[Outfit]],Dwellers[Outfit],0),1),"")</f>
        <v>Jennifer Snyder</v>
      </c>
    </row>
    <row r="27" spans="1:9" x14ac:dyDescent="0.25">
      <c r="A27" t="s">
        <v>158</v>
      </c>
      <c r="I27" s="3" t="str">
        <f>IFERROR(INDEX(Dwellers[[Dweller]:[Outfit]],MATCH(Outfits[[#This Row],[Outfit]],Dwellers[Outfit],0),1),"")</f>
        <v>Eugene W. Payne</v>
      </c>
    </row>
    <row r="28" spans="1:9" x14ac:dyDescent="0.25">
      <c r="A28" t="s">
        <v>194</v>
      </c>
      <c r="C28">
        <v>2</v>
      </c>
      <c r="G28">
        <v>2</v>
      </c>
      <c r="H28">
        <v>1</v>
      </c>
      <c r="I28" s="3" t="str">
        <f>IFERROR(INDEX(Dwellers[[Dweller]:[Outfit]],MATCH(Outfits[[#This Row],[Outfit]],Dwellers[Outfit],0),1),"")</f>
        <v/>
      </c>
    </row>
    <row r="29" spans="1:9" x14ac:dyDescent="0.25">
      <c r="A29" t="s">
        <v>81</v>
      </c>
      <c r="B29">
        <v>2</v>
      </c>
      <c r="D29">
        <v>2</v>
      </c>
      <c r="E29">
        <v>2</v>
      </c>
      <c r="H29">
        <v>2</v>
      </c>
      <c r="I29" s="3" t="str">
        <f>IFERROR(INDEX(Dwellers[[Dweller]:[Outfit]],MATCH(Outfits[[#This Row],[Outfit]],Dwellers[Outfit],0),1),"")</f>
        <v>~Gl. Longfellow</v>
      </c>
    </row>
    <row r="30" spans="1:9" x14ac:dyDescent="0.25">
      <c r="A30" t="s">
        <v>91</v>
      </c>
      <c r="C30">
        <v>2</v>
      </c>
      <c r="E30">
        <v>2</v>
      </c>
      <c r="F30">
        <v>2</v>
      </c>
      <c r="H30">
        <v>1</v>
      </c>
      <c r="I30" s="3" t="str">
        <f>IFERROR(INDEX(Dwellers[[Dweller]:[Outfit]],MATCH(Outfits[[#This Row],[Outfit]],Dwellers[Outfit],0),1),"")</f>
        <v>~Gl. Tenpenny</v>
      </c>
    </row>
    <row r="31" spans="1:9" x14ac:dyDescent="0.25">
      <c r="A31" t="s">
        <v>166</v>
      </c>
      <c r="G31">
        <v>4</v>
      </c>
      <c r="I31" s="3" t="str">
        <f>IFERROR(INDEX(Dwellers[[Dweller]:[Outfit]],MATCH(Outfits[[#This Row],[Outfit]],Dwellers[Outfit],0),1),"")</f>
        <v>Ms. Rose M tenpenny</v>
      </c>
    </row>
    <row r="32" spans="1:9" x14ac:dyDescent="0.25">
      <c r="A32" t="s">
        <v>123</v>
      </c>
      <c r="C32">
        <v>2</v>
      </c>
      <c r="H32">
        <v>1</v>
      </c>
      <c r="I32" s="3" t="str">
        <f>IFERROR(INDEX(Dwellers[[Dweller]:[Outfit]],MATCH(Outfits[[#This Row],[Outfit]],Dwellers[Outfit],0),1),"")</f>
        <v>Nicole Frosts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4D636-C9C8-4A61-8C27-E88F366C7A99}">
  <sheetPr codeName="Planilha6"/>
  <dimension ref="A1:D25"/>
  <sheetViews>
    <sheetView topLeftCell="A5" workbookViewId="0">
      <selection activeCell="B25" sqref="B25"/>
    </sheetView>
  </sheetViews>
  <sheetFormatPr defaultRowHeight="15" x14ac:dyDescent="0.25"/>
  <cols>
    <col min="1" max="1" width="24.5703125" customWidth="1"/>
    <col min="2" max="2" width="10.28515625" style="3" customWidth="1"/>
    <col min="3" max="3" width="11.5703125" customWidth="1"/>
  </cols>
  <sheetData>
    <row r="1" spans="1:4" x14ac:dyDescent="0.25">
      <c r="A1" t="s">
        <v>14</v>
      </c>
      <c r="B1" s="3" t="s">
        <v>15</v>
      </c>
      <c r="C1" t="s">
        <v>59</v>
      </c>
      <c r="D1" t="s">
        <v>0</v>
      </c>
    </row>
    <row r="2" spans="1:4" x14ac:dyDescent="0.25">
      <c r="A2" t="s">
        <v>152</v>
      </c>
      <c r="D2" s="3" t="str">
        <f>IFERROR(INDEX(Dwellers[[Dweller]:[Outfit]],MATCH(Weapons[[#This Row],[Weapon]],Dwellers[Weapon],0),1),"")</f>
        <v>Ms. G. J. Green</v>
      </c>
    </row>
    <row r="3" spans="1:4" x14ac:dyDescent="0.25">
      <c r="A3" t="s">
        <v>120</v>
      </c>
      <c r="B3" s="3" t="s">
        <v>121</v>
      </c>
      <c r="D3" s="3" t="str">
        <f>IFERROR(INDEX(Dwellers[[Dweller]:[Outfit]],MATCH(Weapons[[#This Row],[Weapon]],Dwellers[Weapon],0),1),"")</f>
        <v>~Sd. Payne</v>
      </c>
    </row>
    <row r="4" spans="1:4" x14ac:dyDescent="0.25">
      <c r="A4" t="s">
        <v>78</v>
      </c>
      <c r="B4" s="3" t="s">
        <v>79</v>
      </c>
      <c r="D4" s="3" t="str">
        <f>IFERROR(INDEX(Dwellers[[Dweller]:[Outfit]],MATCH(Weapons[[#This Row],[Weapon]],Dwellers[Weapon],0),1),"")</f>
        <v>Eugene W. Payne</v>
      </c>
    </row>
    <row r="5" spans="1:4" x14ac:dyDescent="0.25">
      <c r="A5" t="s">
        <v>124</v>
      </c>
      <c r="B5" s="4">
        <v>44292</v>
      </c>
      <c r="D5" s="3" t="str">
        <f>IFERROR(INDEX(Dwellers[[Dweller]:[Outfit]],MATCH(Weapons[[#This Row],[Weapon]],Dwellers[Weapon],0),1),"")</f>
        <v>Nicholas Mitchell</v>
      </c>
    </row>
    <row r="6" spans="1:4" x14ac:dyDescent="0.25">
      <c r="A6" t="s">
        <v>107</v>
      </c>
      <c r="B6" s="4">
        <v>44355</v>
      </c>
      <c r="D6" s="3" t="str">
        <f>IFERROR(INDEX(Dwellers[[Dweller]:[Outfit]],MATCH(Weapons[[#This Row],[Weapon]],Dwellers[Weapon],0),1),"")</f>
        <v>Bruce Longfellow</v>
      </c>
    </row>
    <row r="7" spans="1:4" x14ac:dyDescent="0.25">
      <c r="A7" t="s">
        <v>69</v>
      </c>
      <c r="B7" s="4" t="s">
        <v>70</v>
      </c>
      <c r="D7" t="str">
        <f>IFERROR(INDEX(Dwellers[[Dweller]:[Outfit]],MATCH(Weapons[[#This Row],[Weapon]],Dwellers[Weapon],0),1),"")</f>
        <v>~Sd. Garry Longfellow</v>
      </c>
    </row>
    <row r="8" spans="1:4" x14ac:dyDescent="0.25">
      <c r="A8" t="s">
        <v>66</v>
      </c>
      <c r="B8" s="3">
        <v>1</v>
      </c>
      <c r="D8" t="str">
        <f>IFERROR(INDEX(Dwellers[[Dweller]:[Outfit]],MATCH(Weapons[[#This Row],[Weapon]],Dwellers[Weapon],0),1),"")</f>
        <v>Joana T. Englund</v>
      </c>
    </row>
    <row r="9" spans="1:4" x14ac:dyDescent="0.25">
      <c r="A9" t="s">
        <v>82</v>
      </c>
      <c r="B9" s="3" t="s">
        <v>83</v>
      </c>
      <c r="D9" s="3" t="str">
        <f>IFERROR(INDEX(Dwellers[[Dweller]:[Outfit]],MATCH(Weapons[[#This Row],[Weapon]],Dwellers[Weapon],0),1),"")</f>
        <v>~Gl. Longfellow</v>
      </c>
    </row>
    <row r="10" spans="1:4" x14ac:dyDescent="0.25">
      <c r="A10" t="s">
        <v>61</v>
      </c>
      <c r="B10" s="3" t="s">
        <v>62</v>
      </c>
      <c r="D10" t="str">
        <f>IFERROR(INDEX(Dwellers[[Dweller]:[Outfit]],MATCH(Weapons[[#This Row],[Weapon]],Dwellers[Weapon],0),1),"")</f>
        <v>~Sd. Young</v>
      </c>
    </row>
    <row r="11" spans="1:4" x14ac:dyDescent="0.25">
      <c r="A11" t="s">
        <v>187</v>
      </c>
      <c r="B11" s="3" t="s">
        <v>188</v>
      </c>
      <c r="D11" s="3" t="str">
        <f>IFERROR(INDEX(Dwellers[[Dweller]:[Outfit]],MATCH(Weapons[[#This Row],[Weapon]],Dwellers[Weapon],0),1),"")</f>
        <v>Alice Snyder</v>
      </c>
    </row>
    <row r="12" spans="1:4" x14ac:dyDescent="0.25">
      <c r="A12" t="s">
        <v>39</v>
      </c>
      <c r="B12" s="3" t="s">
        <v>40</v>
      </c>
      <c r="C12" t="s">
        <v>60</v>
      </c>
      <c r="D12" t="str">
        <f>IFERROR(INDEX(Dwellers[[Dweller]:[Outfit]],MATCH(Weapons[[#This Row],[Weapon]],Dwellers[Weapon],0),1),"")</f>
        <v>~Sd. Jenny L. Graham</v>
      </c>
    </row>
    <row r="13" spans="1:4" x14ac:dyDescent="0.25">
      <c r="A13" t="s">
        <v>50</v>
      </c>
      <c r="B13" s="3" t="s">
        <v>51</v>
      </c>
      <c r="C13" t="s">
        <v>60</v>
      </c>
      <c r="D13" t="str">
        <f>IFERROR(INDEX(Dwellers[[Dweller]:[Outfit]],MATCH(Weapons[[#This Row],[Weapon]],Dwellers[Weapon],0),1),"")</f>
        <v>Jennifer Snyder</v>
      </c>
    </row>
    <row r="14" spans="1:4" x14ac:dyDescent="0.25">
      <c r="A14" t="s">
        <v>129</v>
      </c>
      <c r="B14" s="4">
        <v>44543</v>
      </c>
      <c r="D14" s="3" t="str">
        <f>IFERROR(INDEX(Dwellers[[Dweller]:[Outfit]],MATCH(Weapons[[#This Row],[Weapon]],Dwellers[Weapon],0),1),"")</f>
        <v>~Sd. Wes Englund</v>
      </c>
    </row>
    <row r="15" spans="1:4" x14ac:dyDescent="0.25">
      <c r="A15" t="s">
        <v>181</v>
      </c>
      <c r="B15" s="3" t="s">
        <v>182</v>
      </c>
      <c r="D15" s="3" t="str">
        <f>IFERROR(INDEX(Dwellers[[Dweller]:[Outfit]],MATCH(Weapons[[#This Row],[Weapon]],Dwellers[Weapon],0),1),"")</f>
        <v>Sean day</v>
      </c>
    </row>
    <row r="16" spans="1:4" x14ac:dyDescent="0.25">
      <c r="A16" t="s">
        <v>135</v>
      </c>
      <c r="B16" s="3" t="s">
        <v>136</v>
      </c>
      <c r="D16" s="3" t="str">
        <f>IFERROR(INDEX(Dwellers[[Dweller]:[Outfit]],MATCH(Weapons[[#This Row],[Weapon]],Dwellers[Weapon],0),1),"")</f>
        <v>Jose Longfellow</v>
      </c>
    </row>
    <row r="17" spans="1:4" x14ac:dyDescent="0.25">
      <c r="A17" t="s">
        <v>110</v>
      </c>
      <c r="B17" s="3">
        <v>2</v>
      </c>
      <c r="D17" s="3" t="str">
        <f>IFERROR(INDEX(Dwellers[[Dweller]:[Outfit]],MATCH(Weapons[[#This Row],[Weapon]],Dwellers[Weapon],0),1),"")</f>
        <v>Charles Tenpenny</v>
      </c>
    </row>
    <row r="18" spans="1:4" x14ac:dyDescent="0.25">
      <c r="A18" t="s">
        <v>92</v>
      </c>
      <c r="B18" s="3">
        <v>16</v>
      </c>
      <c r="D18" s="3" t="str">
        <f>IFERROR(INDEX(Dwellers[[Dweller]:[Outfit]],MATCH(Weapons[[#This Row],[Weapon]],Dwellers[Weapon],0),1),"")</f>
        <v>~Gl. Tenpenny</v>
      </c>
    </row>
    <row r="19" spans="1:4" x14ac:dyDescent="0.25">
      <c r="A19" t="s">
        <v>149</v>
      </c>
      <c r="D19" s="3" t="str">
        <f>IFERROR(INDEX(Dwellers[[Dweller]:[Outfit]],MATCH(Weapons[[#This Row],[Weapon]],Dwellers[Weapon],0),1),"")</f>
        <v>David Newton</v>
      </c>
    </row>
    <row r="20" spans="1:4" x14ac:dyDescent="0.25">
      <c r="A20" t="s">
        <v>47</v>
      </c>
      <c r="B20" s="3">
        <v>7</v>
      </c>
      <c r="C20" t="s">
        <v>60</v>
      </c>
      <c r="D20" t="str">
        <f>IFERROR(INDEX(Dwellers[[Dweller]:[Outfit]],MATCH(Weapons[[#This Row],[Weapon]],Dwellers[Weapon],0),1),"")</f>
        <v>Axelle Tenpenny</v>
      </c>
    </row>
    <row r="21" spans="1:4" x14ac:dyDescent="0.25">
      <c r="A21" t="s">
        <v>146</v>
      </c>
      <c r="D21" s="3" t="str">
        <f>IFERROR(INDEX(Dwellers[[Dweller]:[Outfit]],MATCH(Weapons[[#This Row],[Weapon]],Dwellers[Weapon],0),1),"")</f>
        <v>Dorothy Tenpenny</v>
      </c>
    </row>
    <row r="22" spans="1:4" x14ac:dyDescent="0.25">
      <c r="A22" t="s">
        <v>170</v>
      </c>
      <c r="B22" s="3" t="s">
        <v>171</v>
      </c>
      <c r="D22" s="3" t="str">
        <f>IFERROR(INDEX(Dwellers[[Dweller]:[Outfit]],MATCH(Weapons[[#This Row],[Weapon]],Dwellers[Weapon],0),1),"")</f>
        <v>Russel Green</v>
      </c>
    </row>
    <row r="23" spans="1:4" x14ac:dyDescent="0.25">
      <c r="A23" t="s">
        <v>191</v>
      </c>
      <c r="B23" s="3" t="s">
        <v>192</v>
      </c>
      <c r="D23" s="3" t="str">
        <f>IFERROR(INDEX(Dwellers[[Dweller]:[Outfit]],MATCH(Weapons[[#This Row],[Weapon]],Dwellers[Weapon],0),1),"")</f>
        <v>Matthew Hawkins</v>
      </c>
    </row>
    <row r="24" spans="1:4" x14ac:dyDescent="0.25">
      <c r="A24" t="s">
        <v>155</v>
      </c>
      <c r="D24" s="3" t="str">
        <f>IFERROR(INDEX(Dwellers[[Dweller]:[Outfit]],MATCH(Weapons[[#This Row],[Weapon]],Dwellers[Weapon],0),1),"")</f>
        <v>Erick Hawkins</v>
      </c>
    </row>
    <row r="25" spans="1:4" x14ac:dyDescent="0.25">
      <c r="A25" t="s">
        <v>141</v>
      </c>
      <c r="D25" s="3" t="str">
        <f>IFERROR(INDEX(Dwellers[[Dweller]:[Outfit]],MATCH(Weapons[[#This Row],[Weapon]],Dwellers[Weapon],0),1),"")</f>
        <v>Mr. Snyder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12AB4-8E07-4D6C-98AD-2C3E63219EBA}">
  <sheetPr codeName="Planilha7"/>
  <dimension ref="A1:B12"/>
  <sheetViews>
    <sheetView workbookViewId="0">
      <selection activeCell="A13" sqref="A13"/>
    </sheetView>
  </sheetViews>
  <sheetFormatPr defaultRowHeight="15" x14ac:dyDescent="0.25"/>
  <cols>
    <col min="1" max="1" width="18" customWidth="1"/>
    <col min="2" max="2" width="7.7109375" bestFit="1" customWidth="1"/>
  </cols>
  <sheetData>
    <row r="1" spans="1:2" x14ac:dyDescent="0.25">
      <c r="A1" t="s">
        <v>52</v>
      </c>
      <c r="B1" t="s">
        <v>23</v>
      </c>
    </row>
    <row r="2" spans="1:2" x14ac:dyDescent="0.25">
      <c r="A2" t="s">
        <v>56</v>
      </c>
      <c r="B2">
        <v>2</v>
      </c>
    </row>
    <row r="3" spans="1:2" x14ac:dyDescent="0.25">
      <c r="A3" t="s">
        <v>57</v>
      </c>
      <c r="B3">
        <v>1</v>
      </c>
    </row>
    <row r="4" spans="1:2" x14ac:dyDescent="0.25">
      <c r="A4" t="s">
        <v>58</v>
      </c>
      <c r="B4">
        <v>3</v>
      </c>
    </row>
    <row r="5" spans="1:2" x14ac:dyDescent="0.25">
      <c r="A5" t="s">
        <v>195</v>
      </c>
      <c r="B5">
        <v>1</v>
      </c>
    </row>
    <row r="6" spans="1:2" x14ac:dyDescent="0.25">
      <c r="A6" t="s">
        <v>196</v>
      </c>
      <c r="B6">
        <v>2</v>
      </c>
    </row>
    <row r="7" spans="1:2" x14ac:dyDescent="0.25">
      <c r="A7" t="s">
        <v>197</v>
      </c>
      <c r="B7">
        <v>1</v>
      </c>
    </row>
    <row r="8" spans="1:2" x14ac:dyDescent="0.25">
      <c r="A8" t="s">
        <v>198</v>
      </c>
      <c r="B8">
        <v>1</v>
      </c>
    </row>
    <row r="9" spans="1:2" x14ac:dyDescent="0.25">
      <c r="A9" t="s">
        <v>199</v>
      </c>
      <c r="B9">
        <v>1</v>
      </c>
    </row>
    <row r="10" spans="1:2" x14ac:dyDescent="0.25">
      <c r="A10" t="s">
        <v>200</v>
      </c>
      <c r="B10">
        <v>2</v>
      </c>
    </row>
    <row r="11" spans="1:2" x14ac:dyDescent="0.25">
      <c r="A11" t="s">
        <v>201</v>
      </c>
      <c r="B11">
        <v>3</v>
      </c>
    </row>
    <row r="12" spans="1:2" x14ac:dyDescent="0.25">
      <c r="A12" t="s">
        <v>202</v>
      </c>
      <c r="B12">
        <v>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</vt:i4>
      </vt:variant>
    </vt:vector>
  </HeadingPairs>
  <TitlesOfParts>
    <vt:vector size="8" baseType="lpstr">
      <vt:lpstr>Dashboard</vt:lpstr>
      <vt:lpstr>Database</vt:lpstr>
      <vt:lpstr>Builds</vt:lpstr>
      <vt:lpstr>Dwellers</vt:lpstr>
      <vt:lpstr>Outfit</vt:lpstr>
      <vt:lpstr>Weapons</vt:lpstr>
      <vt:lpstr>Storage</vt:lpstr>
      <vt:lpstr>Advanced_Lab_Coat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de Mendonça Cordeiro</dc:creator>
  <cp:lastModifiedBy>Rodrigo de Mendonça Cordeiro</cp:lastModifiedBy>
  <dcterms:created xsi:type="dcterms:W3CDTF">2021-05-05T18:56:33Z</dcterms:created>
  <dcterms:modified xsi:type="dcterms:W3CDTF">2021-05-07T20:18:34Z</dcterms:modified>
</cp:coreProperties>
</file>