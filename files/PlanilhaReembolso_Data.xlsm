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P " sheetId="1" state="visible" r:id="rId3"/>
    <sheet name="DEPARTAMENTOS" sheetId="2" state="visible" r:id="rId4"/>
    <sheet name="Plan2" sheetId="3" state="visible" r:id="rId5"/>
    <sheet name="Plan1" sheetId="4" state="hidden" r:id="rId6"/>
  </sheets>
  <definedNames>
    <definedName function="false" hidden="false" localSheetId="0" name="_xlnm.Print_Area" vbProcedure="false">'PP '!$A$1:$AH$66</definedName>
    <definedName function="false" hidden="false" localSheetId="0" name="_xlnm._FilterDatabase" vbProcedure="false">'PP '!$W$2:$AH$53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<sst xmlns="http://schemas.openxmlformats.org/spreadsheetml/2006/main" count="251" uniqueCount="192">
  <si>
    <t xml:space="preserve">SOLICITAÇÃO DE PAGAMENTO</t>
  </si>
  <si>
    <t xml:space="preserve">Data Solicitação</t>
  </si>
  <si>
    <t xml:space="preserve">Nº Departamento</t>
  </si>
  <si>
    <t xml:space="preserve">RATEIO (DIGITE X SE SIM OU NÃO)</t>
  </si>
  <si>
    <t xml:space="preserve">CUSTO DEPARTAMENTO &gt;&gt;</t>
  </si>
  <si>
    <t xml:space="preserve">RH</t>
  </si>
  <si>
    <t xml:space="preserve">SIM</t>
  </si>
  <si>
    <t xml:space="preserve">NÃO</t>
  </si>
  <si>
    <t xml:space="preserve">CENTRO DE CUSTO</t>
  </si>
  <si>
    <t xml:space="preserve">VENCIMENTO</t>
  </si>
  <si>
    <t xml:space="preserve">INF APLICADA / AUT</t>
  </si>
  <si>
    <t xml:space="preserve">Água</t>
  </si>
  <si>
    <t xml:space="preserve">Aluguéis / Condominio</t>
  </si>
  <si>
    <t xml:space="preserve">VALOR R$</t>
  </si>
  <si>
    <t xml:space="preserve">Valor total em extenso </t>
  </si>
  <si>
    <t xml:space="preserve">Link Dados / Locação</t>
  </si>
  <si>
    <t xml:space="preserve">Aquisicao bens</t>
  </si>
  <si>
    <t xml:space="preserve">SASCAR</t>
  </si>
  <si>
    <t xml:space="preserve">assist tec / serviços</t>
  </si>
  <si>
    <t xml:space="preserve">Assessoria Contábil / Financeira</t>
  </si>
  <si>
    <t xml:space="preserve">Manut predial</t>
  </si>
  <si>
    <t xml:space="preserve">Assessoria Jurídica / Cartório</t>
  </si>
  <si>
    <t xml:space="preserve">VIVO ESCOB</t>
  </si>
  <si>
    <t xml:space="preserve">Manut. Bens</t>
  </si>
  <si>
    <t xml:space="preserve">assist tecnica / serviços</t>
  </si>
  <si>
    <t xml:space="preserve">VIVO MOVEL PILOTO M1 BAXO RISCO</t>
  </si>
  <si>
    <t xml:space="preserve">FAVORECIDO</t>
  </si>
  <si>
    <t xml:space="preserve">Aluguéis / Cond.</t>
  </si>
  <si>
    <t xml:space="preserve">Assist. Médica/Odontologica</t>
  </si>
  <si>
    <t xml:space="preserve">VIVO ESCOB PF MAIOR 5 ANOS</t>
  </si>
  <si>
    <t xml:space="preserve">Rodrigo de Mendonça Cordeiro</t>
  </si>
  <si>
    <t xml:space="preserve">agua  luz</t>
  </si>
  <si>
    <t xml:space="preserve">Benefícios / Fretado</t>
  </si>
  <si>
    <t xml:space="preserve">VIVO  PJ MAIOR 05 ANOS</t>
  </si>
  <si>
    <t xml:space="preserve">iptu / outras taxas</t>
  </si>
  <si>
    <t xml:space="preserve">Cofrinho</t>
  </si>
  <si>
    <t xml:space="preserve">VIVO ESCOB PJ</t>
  </si>
  <si>
    <t xml:space="preserve">Descrição</t>
  </si>
  <si>
    <t xml:space="preserve">Centro de custo</t>
  </si>
  <si>
    <t xml:space="preserve">Valor</t>
  </si>
  <si>
    <t xml:space="preserve">Limpeza / Conservação</t>
  </si>
  <si>
    <t xml:space="preserve">Consumo / Expediente</t>
  </si>
  <si>
    <t xml:space="preserve">VIVO TELECOBRANÇA M3</t>
  </si>
  <si>
    <t xml:space="preserve">Salarios / Ordenados</t>
  </si>
  <si>
    <t xml:space="preserve">Energia Elétrica</t>
  </si>
  <si>
    <t xml:space="preserve">VIVO TELECOBRANÇA M1</t>
  </si>
  <si>
    <t xml:space="preserve">25/10 Natixis</t>
  </si>
  <si>
    <t xml:space="preserve">Vale Transporte</t>
  </si>
  <si>
    <t xml:space="preserve">Rescisão</t>
  </si>
  <si>
    <t xml:space="preserve">Férias</t>
  </si>
  <si>
    <t xml:space="preserve">VIVO MOVEL PF M1 TELE 0 A 45 DIAS</t>
  </si>
  <si>
    <t xml:space="preserve">25/10 La Financial</t>
  </si>
  <si>
    <t xml:space="preserve">Negócios</t>
  </si>
  <si>
    <t xml:space="preserve">Remuneração Indireta</t>
  </si>
  <si>
    <t xml:space="preserve">Festa Anual</t>
  </si>
  <si>
    <t xml:space="preserve">VIVO ESPECIAL</t>
  </si>
  <si>
    <t xml:space="preserve">27/10 Fercab</t>
  </si>
  <si>
    <t xml:space="preserve">Encargos Sociais</t>
  </si>
  <si>
    <t xml:space="preserve">FGTS</t>
  </si>
  <si>
    <t xml:space="preserve">VIVO PF M2 TELE 45 A 75 DIAS</t>
  </si>
  <si>
    <t xml:space="preserve">28/10 Natixis</t>
  </si>
  <si>
    <t xml:space="preserve">Benefícios/PF</t>
  </si>
  <si>
    <t xml:space="preserve">Força Tarefa</t>
  </si>
  <si>
    <t xml:space="preserve">VIVO MOVEL PF M4 TELE 91 A 114</t>
  </si>
  <si>
    <t xml:space="preserve">04/11 Natixis</t>
  </si>
  <si>
    <t xml:space="preserve">Provisões 13o Salário / Férias</t>
  </si>
  <si>
    <t xml:space="preserve">Impressão/Postagem</t>
  </si>
  <si>
    <t xml:space="preserve">VIVO MOVEL PJ M1 CONTROLE 10 A 30</t>
  </si>
  <si>
    <t xml:space="preserve">06/11 Natixis</t>
  </si>
  <si>
    <t xml:space="preserve">Cooperativas / Terceiros</t>
  </si>
  <si>
    <t xml:space="preserve">Incentivo</t>
  </si>
  <si>
    <t xml:space="preserve">VIVO MOVEL PJ M2 TELE 45 A 75 DIAS</t>
  </si>
  <si>
    <t xml:space="preserve">Prestadores de Serviço</t>
  </si>
  <si>
    <t xml:space="preserve">Inf aplicada/Automação</t>
  </si>
  <si>
    <t xml:space="preserve">VIVO MOVEL PJ M3 TELE 75 A 105 DIAS</t>
  </si>
  <si>
    <t xml:space="preserve">Correios / Encomendas</t>
  </si>
  <si>
    <t xml:space="preserve">INSS</t>
  </si>
  <si>
    <t xml:space="preserve">VIVO MOVEL PJ M4 TELE 91 A 114</t>
  </si>
  <si>
    <t xml:space="preserve">Propaganda / Publicidade</t>
  </si>
  <si>
    <t xml:space="preserve">VIVO TELECOBRANÇA M3 PILOTO</t>
  </si>
  <si>
    <t xml:space="preserve">Motoboy / Remessas Express</t>
  </si>
  <si>
    <t xml:space="preserve">IRRF</t>
  </si>
  <si>
    <t xml:space="preserve">VIVO TELECOBRANÇA M1 PILOTO</t>
  </si>
  <si>
    <t xml:space="preserve">Telecomunicações / Telefonia</t>
  </si>
  <si>
    <t xml:space="preserve">ISS</t>
  </si>
  <si>
    <t xml:space="preserve">VIVO PF M2 TELE 45 A 75 DIAS PILOTO</t>
  </si>
  <si>
    <t xml:space="preserve">VIVO MOVEL PJ M1 PILOTO 10 A 30</t>
  </si>
  <si>
    <t xml:space="preserve">Assessoria Jurídica/Cartório</t>
  </si>
  <si>
    <t xml:space="preserve">VIVO MOVEL PJ M2 PILOTO 45 A 75</t>
  </si>
  <si>
    <t xml:space="preserve">Assinaturas / Publicações</t>
  </si>
  <si>
    <t xml:space="preserve">Manutenção Bens</t>
  </si>
  <si>
    <t xml:space="preserve">VIVO MOVEL PJ M3 PILOTO 75 A 105</t>
  </si>
  <si>
    <t xml:space="preserve">Manutenção predial</t>
  </si>
  <si>
    <t xml:space="preserve">VIVO FIXO ESCOB PF 181 A 3 ANOS</t>
  </si>
  <si>
    <t xml:space="preserve">Viagens / Estadas</t>
  </si>
  <si>
    <t xml:space="preserve">VIVO FIXO TELEFOBRANÇA PF 35 A 90 DIAS</t>
  </si>
  <si>
    <t xml:space="preserve">Outras Despesas</t>
  </si>
  <si>
    <t xml:space="preserve">VIVO ESCOB PF TRANSITORIA</t>
  </si>
  <si>
    <t xml:space="preserve">Parcelamentos</t>
  </si>
  <si>
    <t xml:space="preserve">VIVO FIXO FIDELIZAÇÃO PF 9 A 20 DIAS</t>
  </si>
  <si>
    <t xml:space="preserve">Bancos </t>
  </si>
  <si>
    <t xml:space="preserve">PIS/COFINS/CSLL</t>
  </si>
  <si>
    <t xml:space="preserve">TELEFONICA ESCOB</t>
  </si>
  <si>
    <t xml:space="preserve">Leasings/CDC/Consorcios</t>
  </si>
  <si>
    <t xml:space="preserve">VIVO FIXO TELE CHURN PF 91 A 120 DIAS</t>
  </si>
  <si>
    <t xml:space="preserve">Descontos</t>
  </si>
  <si>
    <t xml:space="preserve">VIVO FIXO TELECOBRANÇA PF 61 A 90 DIAS</t>
  </si>
  <si>
    <t xml:space="preserve">Remuneração indireta</t>
  </si>
  <si>
    <t xml:space="preserve">VIVO ESCOB RETDEF PF 25 A 120 DIAS</t>
  </si>
  <si>
    <t xml:space="preserve">Investimentos</t>
  </si>
  <si>
    <t xml:space="preserve">VIVO FIXO ESCOB PF 121 A 180 DIAS</t>
  </si>
  <si>
    <t xml:space="preserve">FORMA DE PAGAMENTO (DIGITE "X" AO LADO DA DESEJADA)</t>
  </si>
  <si>
    <t xml:space="preserve">Depreciações</t>
  </si>
  <si>
    <t xml:space="preserve">VIVO FIXO PREMIUM 9 A 20 CYBER</t>
  </si>
  <si>
    <t xml:space="preserve">  BOLETO    </t>
  </si>
  <si>
    <t xml:space="preserve">DINHEIRO</t>
  </si>
  <si>
    <t xml:space="preserve">TRANSFERÊNCIA BANCÁRIA</t>
  </si>
  <si>
    <t xml:space="preserve">CHEQUE</t>
  </si>
  <si>
    <t xml:space="preserve">GUIA</t>
  </si>
  <si>
    <t xml:space="preserve">SMS</t>
  </si>
  <si>
    <t xml:space="preserve">VIVO FIXA FIDELIZAÇÃO 9 A 20 CYBER</t>
  </si>
  <si>
    <t xml:space="preserve">Tabelionato</t>
  </si>
  <si>
    <t xml:space="preserve">VIVO FIXO TELECOBRANÇA PJ 35 A 90 DIAS</t>
  </si>
  <si>
    <t xml:space="preserve">TELECOBRANÇA NEGOCIOS 61 A 90</t>
  </si>
  <si>
    <t xml:space="preserve">CPF</t>
  </si>
  <si>
    <t xml:space="preserve">BANCO</t>
  </si>
  <si>
    <t xml:space="preserve">AGENCIA</t>
  </si>
  <si>
    <t xml:space="preserve">CONTA</t>
  </si>
  <si>
    <t xml:space="preserve">Telefonia 0800</t>
  </si>
  <si>
    <t xml:space="preserve">VIVO FIXO ESCOB PJ 91 A  180 DIAS</t>
  </si>
  <si>
    <t xml:space="preserve">465.292.838-09</t>
  </si>
  <si>
    <t xml:space="preserve">Santander</t>
  </si>
  <si>
    <t xml:space="preserve">01029518-7</t>
  </si>
  <si>
    <t xml:space="preserve">Telefonia ativa</t>
  </si>
  <si>
    <t xml:space="preserve">VIVO ESCOB  PJ MAIOR 180 DIAS</t>
  </si>
  <si>
    <t xml:space="preserve">Telefonia URA</t>
  </si>
  <si>
    <t xml:space="preserve">TELENEGOCIOS</t>
  </si>
  <si>
    <t xml:space="preserve">Vale Lanche</t>
  </si>
  <si>
    <t xml:space="preserve">VIVO FIXO PJ 09 A 20 DIAS</t>
  </si>
  <si>
    <t xml:space="preserve">ENDEREÇO</t>
  </si>
  <si>
    <t xml:space="preserve">Vale Refeição</t>
  </si>
  <si>
    <t xml:space="preserve">VIVO FIXO PJ 21 A 34 DIAS</t>
  </si>
  <si>
    <t xml:space="preserve">VIVO FIXO COBILLING</t>
  </si>
  <si>
    <t xml:space="preserve">M2 FIXA PILOTO PF 35 A 90 DIAS</t>
  </si>
  <si>
    <t xml:space="preserve">M3 FIXA PILOTO PF 61 A 90 DIAS</t>
  </si>
  <si>
    <t xml:space="preserve">Solicitante:</t>
  </si>
  <si>
    <t xml:space="preserve">Oliver</t>
  </si>
  <si>
    <t xml:space="preserve">M1 FIXA PILOTO PF 9 A 20 DIAS</t>
  </si>
  <si>
    <t xml:space="preserve">13° Salário</t>
  </si>
  <si>
    <t xml:space="preserve">M2 FIXA PILOTO PJ 35 A 90 DIAS</t>
  </si>
  <si>
    <t xml:space="preserve">Assistência Médica </t>
  </si>
  <si>
    <t xml:space="preserve">TELECOBRANCA PILOTO NEGOCIOS 61 A 90</t>
  </si>
  <si>
    <t xml:space="preserve">VIVO FIXO PILOTO PJ 09 A 20 DIAS</t>
  </si>
  <si>
    <t xml:space="preserve">APROVAÇÕES E ASSINATURAS</t>
  </si>
  <si>
    <t xml:space="preserve">1ª Aprovação:</t>
  </si>
  <si>
    <t xml:space="preserve">2ª Aprovação:</t>
  </si>
  <si>
    <t xml:space="preserve">3ª Aprovação:</t>
  </si>
  <si>
    <t xml:space="preserve">4ª Aprovação:</t>
  </si>
  <si>
    <t xml:space="preserve">RECURSOS HUMANOS</t>
  </si>
  <si>
    <t xml:space="preserve">VANIA JUSTI</t>
  </si>
  <si>
    <t xml:space="preserve">DANIEL SILVA</t>
  </si>
  <si>
    <t xml:space="preserve">SEM PARAR</t>
  </si>
  <si>
    <t xml:space="preserve">Departamento Pessoal</t>
  </si>
  <si>
    <t xml:space="preserve">RECOVERY</t>
  </si>
  <si>
    <t xml:space="preserve">D:  ________________________</t>
  </si>
  <si>
    <t xml:space="preserve">FINANCEIRO</t>
  </si>
  <si>
    <t xml:space="preserve">CONTABILIDADE</t>
  </si>
  <si>
    <t xml:space="preserve">NEXTEL</t>
  </si>
  <si>
    <t xml:space="preserve">C:  ________________________</t>
  </si>
  <si>
    <t xml:space="preserve">Data:     _____/_____/________</t>
  </si>
  <si>
    <t xml:space="preserve">VIVO TV TELECOBRANCA 31 A 104</t>
  </si>
  <si>
    <t xml:space="preserve">Titulo:  _____________________</t>
  </si>
  <si>
    <t xml:space="preserve">Lançado</t>
  </si>
  <si>
    <t xml:space="preserve">VIVO PLAY</t>
  </si>
  <si>
    <t xml:space="preserve">Baixado</t>
  </si>
  <si>
    <t xml:space="preserve">Contabilidade</t>
  </si>
  <si>
    <t xml:space="preserve">Compras</t>
  </si>
  <si>
    <t xml:space="preserve">Operacional</t>
  </si>
  <si>
    <t xml:space="preserve">Qualidade</t>
  </si>
  <si>
    <t xml:space="preserve">Financeiro</t>
  </si>
  <si>
    <t xml:space="preserve">Jurídico</t>
  </si>
  <si>
    <t xml:space="preserve">M.I.S.</t>
  </si>
  <si>
    <t xml:space="preserve">Marketing</t>
  </si>
  <si>
    <t xml:space="preserve">Novos Negócios</t>
  </si>
  <si>
    <t xml:space="preserve">Diretoria</t>
  </si>
  <si>
    <t xml:space="preserve">T.I Desenvolvimento</t>
  </si>
  <si>
    <t xml:space="preserve">TI</t>
  </si>
  <si>
    <t xml:space="preserve">Água / Energia Elétrica</t>
  </si>
  <si>
    <t xml:space="preserve">Assessoria Jurídica</t>
  </si>
  <si>
    <t xml:space="preserve">Incentivo Tarde</t>
  </si>
  <si>
    <t xml:space="preserve">Programa Indica</t>
  </si>
  <si>
    <t xml:space="preserve">Remuneração ind/Cofrinho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</si>
</sst>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General"/>
    <numFmt numFmtId="166" formatCode="d/m/yyyy"/>
    <numFmt numFmtId="167" formatCode="_-&quot;R$ &quot;* #,##0.00_-;&quot;-R$ &quot;* #,##0.00_-;_-&quot;R$ &quot;* \-??_-;_-@_-"/>
    <numFmt numFmtId="168" formatCode="&quot;R$ &quot;#,##0.00"/>
    <numFmt numFmtId="169" formatCode="@"/>
    <numFmt numFmtId="170" formatCode="mmm/yy"/>
    <numFmt numFmtId="171" formatCode="000"/>
    <numFmt numFmtId="172" formatCode="0000"/>
    <numFmt numFmtId="173" formatCode="000000000"/>
  </numFmts>
  <fonts count="2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sz val="26"/>
      <color rgb="FFFFFFFF"/>
      <name val="Calibri"/>
      <family val="2"/>
      <charset val="1"/>
    </font>
    <font>
      <b val="true"/>
      <sz val="20"/>
      <color rgb="FF000000"/>
      <name val="Calibri"/>
      <family val="2"/>
      <charset val="1"/>
    </font>
    <font>
      <sz val="11"/>
      <color rgb="FF595959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8"/>
      <color rgb="FFFF0000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24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name val="Calibri"/>
      <family val="2"/>
      <charset val="1"/>
    </font>
    <font>
      <sz val="16"/>
      <color rgb="FF000000"/>
      <name val="Calibri"/>
      <family val="2"/>
      <charset val="1"/>
    </font>
    <font>
      <b val="true"/>
      <sz val="14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12"/>
      <color rgb="FF0000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00"/>
        <bgColor rgb="FFFFFF00"/>
      </patternFill>
    </fill>
    <fill>
      <patternFill patternType="solid">
        <fgColor rgb="FFFCD5B5"/>
        <bgColor rgb="FFD9D9D9"/>
      </patternFill>
    </fill>
    <fill>
      <patternFill patternType="solid">
        <fgColor rgb="FFF2F2F2"/>
        <bgColor rgb="FFFFFFFF"/>
      </patternFill>
    </fill>
    <fill>
      <patternFill patternType="solid">
        <fgColor rgb="FFFFFFFF"/>
        <bgColor rgb="FFF2F2F2"/>
      </patternFill>
    </fill>
    <fill>
      <patternFill patternType="solid">
        <fgColor rgb="FFD9D9D9"/>
        <bgColor rgb="FFFCD5B5"/>
      </patternFill>
    </fill>
  </fills>
  <borders count="28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 style="thick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6" fillId="2" borderId="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2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7" fillId="0" borderId="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8" fillId="2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7" fillId="0" borderId="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9" fillId="0" borderId="2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8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8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9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0" borderId="10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5" fontId="8" fillId="2" borderId="9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0" fillId="3" borderId="0" xfId="0" applyFont="false" applyBorder="false" applyAlignment="true" applyProtection="true">
      <alignment horizontal="center" vertical="bottom" textRotation="0" wrapText="false" indent="0" shrinkToFit="false"/>
      <protection locked="true" hidden="true"/>
    </xf>
    <xf numFmtId="165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true"/>
    </xf>
    <xf numFmtId="165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5" fontId="5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1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1" fillId="0" borderId="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2" fillId="2" borderId="13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2" borderId="13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13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3" fillId="0" borderId="2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4" fillId="0" borderId="4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0" fillId="5" borderId="4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7" fontId="0" fillId="5" borderId="3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14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7" fontId="0" fillId="6" borderId="6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9" fontId="16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5" borderId="14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7" fontId="0" fillId="5" borderId="6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15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7" fillId="0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16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0" fillId="0" borderId="3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13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17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8" fontId="13" fillId="0" borderId="17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70" fontId="13" fillId="0" borderId="1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5" borderId="19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5" fontId="0" fillId="5" borderId="0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8" fillId="0" borderId="19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5" borderId="1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3" fillId="5" borderId="2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3" fillId="0" borderId="6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3" fillId="5" borderId="6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9" fillId="5" borderId="1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5" borderId="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8" fontId="15" fillId="5" borderId="6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19" fillId="0" borderId="1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8" fontId="15" fillId="0" borderId="6" xfId="17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9" fillId="0" borderId="2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10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7" fontId="10" fillId="6" borderId="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10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23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5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7" fontId="10" fillId="5" borderId="6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10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0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6" borderId="14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13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3" fillId="0" borderId="2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1" fontId="13" fillId="0" borderId="2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1" fontId="13" fillId="0" borderId="2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5" fillId="7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24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24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24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0" fillId="6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9" fillId="0" borderId="7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13" fillId="0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4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4" fillId="0" borderId="13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15" fillId="0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8" xfId="0" applyFont="false" applyBorder="true" applyAlignment="true" applyProtection="true">
      <alignment horizontal="general" vertical="center" textRotation="0" wrapText="false" indent="0" shrinkToFit="false"/>
      <protection locked="false" hidden="true"/>
    </xf>
    <xf numFmtId="164" fontId="13" fillId="0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1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7" fontId="0" fillId="5" borderId="9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7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2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10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0" fillId="0" borderId="11" xfId="0" applyFont="false" applyBorder="true" applyAlignment="true" applyProtection="true">
      <alignment horizontal="center" vertical="center" textRotation="0" wrapText="false" indent="0" shrinkToFit="false"/>
      <protection locked="true" hidden="tru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9" fillId="0" borderId="0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D7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20" activeCellId="0" sqref="A20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1.43"/>
    <col collapsed="false" customWidth="true" hidden="false" outlineLevel="0" max="2" min="2" style="1" width="13.28"/>
    <col collapsed="false" customWidth="false" hidden="false" outlineLevel="0" max="4" min="3" style="1" width="9.14"/>
    <col collapsed="false" customWidth="true" hidden="false" outlineLevel="0" max="5" min="5" style="1" width="9.43"/>
    <col collapsed="false" customWidth="false" hidden="false" outlineLevel="0" max="6" min="6" style="1" width="9.14"/>
    <col collapsed="false" customWidth="true" hidden="false" outlineLevel="0" max="7" min="7" style="1" width="37.43"/>
    <col collapsed="false" customWidth="true" hidden="false" outlineLevel="0" max="8" min="8" style="1" width="12.28"/>
    <col collapsed="false" customWidth="true" hidden="false" outlineLevel="0" max="9" min="9" style="1" width="3.86"/>
    <col collapsed="false" customWidth="false" hidden="false" outlineLevel="0" max="10" min="10" style="1" width="9.14"/>
    <col collapsed="false" customWidth="true" hidden="false" outlineLevel="0" max="11" min="11" style="1" width="2"/>
    <col collapsed="false" customWidth="true" hidden="false" outlineLevel="0" max="12" min="12" style="1" width="12.43"/>
    <col collapsed="false" customWidth="true" hidden="false" outlineLevel="0" max="13" min="13" style="1" width="16.57"/>
    <col collapsed="false" customWidth="true" hidden="false" outlineLevel="0" max="14" min="14" style="1" width="9.57"/>
    <col collapsed="false" customWidth="true" hidden="false" outlineLevel="0" max="15" min="15" style="1" width="13.28"/>
    <col collapsed="false" customWidth="false" hidden="true" outlineLevel="0" max="16" min="16" style="2" width="9.14"/>
    <col collapsed="false" customWidth="false" hidden="true" outlineLevel="0" max="17" min="17" style="1" width="9.14"/>
    <col collapsed="false" customWidth="true" hidden="true" outlineLevel="0" max="18" min="18" style="1" width="25.57"/>
    <col collapsed="false" customWidth="true" hidden="true" outlineLevel="0" max="22" min="19" style="1" width="29.29"/>
    <col collapsed="false" customWidth="false" hidden="true" outlineLevel="0" max="24" min="23" style="1" width="9.14"/>
    <col collapsed="false" customWidth="true" hidden="true" outlineLevel="0" max="25" min="25" style="1" width="29.72"/>
    <col collapsed="false" customWidth="false" hidden="true" outlineLevel="0" max="27" min="26" style="1" width="9.14"/>
    <col collapsed="false" customWidth="true" hidden="true" outlineLevel="0" max="28" min="28" style="1" width="18.85"/>
    <col collapsed="false" customWidth="false" hidden="true" outlineLevel="0" max="29" min="29" style="1" width="9.14"/>
    <col collapsed="false" customWidth="true" hidden="true" outlineLevel="0" max="30" min="30" style="1" width="29.72"/>
    <col collapsed="false" customWidth="false" hidden="true" outlineLevel="0" max="31" min="31" style="1" width="9.14"/>
    <col collapsed="false" customWidth="true" hidden="true" outlineLevel="0" max="32" min="32" style="3" width="29.72"/>
    <col collapsed="false" customWidth="false" hidden="true" outlineLevel="0" max="34" min="33" style="1" width="9.14"/>
    <col collapsed="false" customWidth="false" hidden="true" outlineLevel="0" max="36" min="35" style="4" width="9.14"/>
    <col collapsed="false" customWidth="true" hidden="true" outlineLevel="0" max="37" min="37" style="4" width="39.14"/>
    <col collapsed="false" customWidth="false" hidden="true" outlineLevel="0" max="54" min="38" style="4" width="9.14"/>
    <col collapsed="false" customWidth="false" hidden="false" outlineLevel="0" max="56" min="55" style="4" width="9.14"/>
    <col collapsed="false" customWidth="false" hidden="false" outlineLevel="0" max="1024" min="57" style="1" width="9.14"/>
  </cols>
  <sheetData>
    <row r="1" customFormat="false" ht="15" hidden="false" customHeight="true" outlineLevel="0" collapsed="false">
      <c r="B1" s="5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customFormat="false" ht="15.75" hidden="false" customHeight="true" outlineLevel="0" collapsed="false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R2" s="1" t="str">
        <f aca="false">CONCATENATE(R4,R5,R7)</f>
        <v>Digite o X em uma das opções acima</v>
      </c>
      <c r="AH2" s="1" t="str">
        <f aca="false">IF(AND(N3&lt;10,N3&gt;10),10,"S/C")</f>
        <v>S/C</v>
      </c>
    </row>
    <row r="3" customFormat="false" ht="15" hidden="false" customHeight="true" outlineLevel="0" collapsed="false">
      <c r="B3" s="6" t="s">
        <v>1</v>
      </c>
      <c r="C3" s="6"/>
      <c r="D3" s="7" t="s">
        <v>2</v>
      </c>
      <c r="E3" s="7"/>
      <c r="F3" s="7"/>
      <c r="G3" s="8" t="s">
        <v>3</v>
      </c>
      <c r="H3" s="8"/>
      <c r="I3" s="8"/>
      <c r="J3" s="8"/>
      <c r="K3" s="8"/>
      <c r="L3" s="9" t="s">
        <v>4</v>
      </c>
      <c r="M3" s="9"/>
      <c r="N3" s="10" t="s">
        <v>5</v>
      </c>
      <c r="O3" s="11" t="e">
        <f aca="false">CONCATENATE(DEPARTAMENTOS!D3,DEPARTAMENTOS!D4,DEPARTAMENTOS!D5,DEPARTAMENTOS!D6,DEPARTAMENTOS!D7,DEPARTAMENTOS!D8,DEPARTAMENTOS!D9,DEPARTAMENTOS!D10,DEPARTAMENTOS!D11,DEPARTAMENTOS!D12,DEPARTAMENTOS!D13,DEPARTAMENTOS!D14,DEPARTAMENTOS!D15)</f>
        <v>#REF!</v>
      </c>
      <c r="T3" s="1" t="str">
        <f aca="false">IF(AND(D4&lt;&gt;"",N3&lt;&gt;10),"Digite abaixo o valor de cada ítem","")</f>
        <v>Digite abaixo o valor de cada ítem</v>
      </c>
      <c r="AH3" s="12" t="n">
        <f aca="false">IF($H$4="X",$D$4,10)</f>
        <v>10</v>
      </c>
    </row>
    <row r="4" customFormat="false" ht="15.75" hidden="false" customHeight="true" outlineLevel="0" collapsed="false">
      <c r="B4" s="13" t="n">
        <v>44133</v>
      </c>
      <c r="C4" s="13"/>
      <c r="D4" s="14" t="s">
        <v>5</v>
      </c>
      <c r="E4" s="14"/>
      <c r="F4" s="14"/>
      <c r="G4" s="15" t="s">
        <v>6</v>
      </c>
      <c r="H4" s="16"/>
      <c r="I4" s="15" t="s">
        <v>7</v>
      </c>
      <c r="J4" s="15"/>
      <c r="K4" s="17"/>
      <c r="L4" s="18" t="e">
        <f aca="false">IF(D4&lt;&gt;"",O3,"")</f>
        <v>#REF!</v>
      </c>
      <c r="M4" s="18"/>
      <c r="N4" s="10"/>
      <c r="O4" s="19" t="n">
        <f aca="false">IF(H4="x",1,0)</f>
        <v>0</v>
      </c>
      <c r="P4" s="2" t="n">
        <f aca="false">IF(K4="x",1,0)</f>
        <v>0</v>
      </c>
      <c r="Q4" s="20" t="n">
        <f aca="false">O4+P4</f>
        <v>0</v>
      </c>
      <c r="R4" s="21" t="str">
        <f aca="false">IF(Q4=0,"Digite o X em uma das opções acima","")</f>
        <v>Digite o X em uma das opções acima</v>
      </c>
      <c r="S4" s="22" t="str">
        <f aca="false">CONCATENATE(T3,T4)</f>
        <v>Digite abaixo o valor de cada ítem</v>
      </c>
      <c r="T4" s="22" t="str">
        <f aca="false">IF($N$3=10,"Digite abaixo o valor da carteira","")</f>
        <v/>
      </c>
      <c r="U4" s="22"/>
      <c r="V4" s="22"/>
      <c r="W4" s="1" t="str">
        <f aca="false">IF(AND(D4&lt;&gt;"",N3&lt;&gt;10),"Digite o valor de cada Ítem","")</f>
        <v>Digite o valor de cada Ítem</v>
      </c>
      <c r="AF4" s="3" t="s">
        <v>8</v>
      </c>
      <c r="AH4" s="12"/>
    </row>
    <row r="5" customFormat="false" ht="13.8" hidden="false" customHeight="false" outlineLevel="0" collapsed="false">
      <c r="B5" s="6" t="s">
        <v>9</v>
      </c>
      <c r="C5" s="6"/>
      <c r="D5" s="23" t="str">
        <f aca="false">IF(D4="","Digite acima o Nº do Depto.","")</f>
        <v/>
      </c>
      <c r="E5" s="23"/>
      <c r="F5" s="23"/>
      <c r="G5" s="24"/>
      <c r="H5" s="24"/>
      <c r="I5" s="24"/>
      <c r="J5" s="24"/>
      <c r="K5" s="25"/>
      <c r="L5" s="26"/>
      <c r="M5" s="26"/>
      <c r="N5" s="26"/>
      <c r="O5" s="26"/>
      <c r="R5" s="21" t="str">
        <f aca="false">IF(Q4=1,"","")</f>
        <v/>
      </c>
      <c r="S5" s="1" t="n">
        <f aca="false">IF(AND($D$4&lt;&gt;"",$K$4="X"),1,0)</f>
        <v>0</v>
      </c>
      <c r="T5" s="1" t="n">
        <f aca="false">IF(AND($D$4&lt;&gt;"",$K$4="X"),1,0)</f>
        <v>0</v>
      </c>
      <c r="Y5" s="1" t="s">
        <v>10</v>
      </c>
      <c r="AD5" s="1" t="str">
        <f aca="false">IF(AND($N$3&lt;&gt;10,$N$3&lt;&gt;""),Y5,"")</f>
        <v>INF APLICADA / AUT</v>
      </c>
      <c r="AE5" s="1" t="str">
        <f aca="false">IF(AND($N$3&lt;&gt;"",$N$3=10),X7,"")</f>
        <v/>
      </c>
      <c r="AF5" s="27" t="s">
        <v>11</v>
      </c>
    </row>
    <row r="6" customFormat="false" ht="24" hidden="false" customHeight="false" outlineLevel="0" collapsed="false">
      <c r="B6" s="28" t="n">
        <v>44141</v>
      </c>
      <c r="C6" s="28"/>
      <c r="D6" s="29"/>
      <c r="E6" s="29"/>
      <c r="F6" s="30"/>
      <c r="G6" s="30"/>
      <c r="H6" s="30"/>
      <c r="I6" s="30"/>
      <c r="J6" s="30"/>
      <c r="K6" s="30"/>
      <c r="L6" s="31"/>
      <c r="M6" s="32"/>
      <c r="N6" s="32"/>
      <c r="O6" s="33"/>
      <c r="R6" s="21"/>
      <c r="AF6" s="27" t="s">
        <v>12</v>
      </c>
    </row>
    <row r="7" customFormat="false" ht="13.8" hidden="false" customHeight="false" outlineLevel="0" collapsed="false">
      <c r="B7" s="34" t="s">
        <v>13</v>
      </c>
      <c r="C7" s="34"/>
      <c r="D7" s="35" t="s">
        <v>14</v>
      </c>
      <c r="E7" s="35"/>
      <c r="F7" s="35"/>
      <c r="G7" s="35"/>
      <c r="H7" s="35"/>
      <c r="I7" s="35"/>
      <c r="J7" s="35"/>
      <c r="K7" s="35"/>
      <c r="L7" s="36" t="str">
        <f aca="false">IF(AND($N$3=10),AJ7,AF5)</f>
        <v>Água</v>
      </c>
      <c r="M7" s="36"/>
      <c r="N7" s="37" t="n">
        <f aca="false">SUMIF($H$16:$I$38,L7,$J$16:$K$38)</f>
        <v>0</v>
      </c>
      <c r="O7" s="37"/>
      <c r="R7" s="21" t="str">
        <f aca="false">IF(Q4=2,"Digite o X em apenas uma Opção","")</f>
        <v/>
      </c>
      <c r="S7" s="1" t="n">
        <f aca="false">IF($D$4=10,1,0)</f>
        <v>0</v>
      </c>
      <c r="T7" s="1" t="n">
        <f aca="false">IF($D$4=10,1,0)</f>
        <v>0</v>
      </c>
      <c r="X7" s="1" t="n">
        <v>1193</v>
      </c>
      <c r="Y7" s="1" t="s">
        <v>15</v>
      </c>
      <c r="AD7" s="1" t="str">
        <f aca="false">IF(AND($N$3&lt;&gt;10,$N$3&lt;&gt;""),Y7,"")</f>
        <v>Link Dados / Locação</v>
      </c>
      <c r="AE7" s="1" t="str">
        <f aca="false">IF(AND($N$3&lt;&gt;"",$N$3=10),X8,"")</f>
        <v/>
      </c>
      <c r="AF7" s="27" t="s">
        <v>16</v>
      </c>
      <c r="AJ7" s="38" t="n">
        <v>1193</v>
      </c>
      <c r="AK7" s="39" t="s">
        <v>17</v>
      </c>
    </row>
    <row r="8" customFormat="false" ht="15.75" hidden="false" customHeight="false" outlineLevel="0" collapsed="false">
      <c r="B8" s="34"/>
      <c r="C8" s="34"/>
      <c r="D8" s="35"/>
      <c r="E8" s="35"/>
      <c r="F8" s="35"/>
      <c r="G8" s="35"/>
      <c r="H8" s="35"/>
      <c r="I8" s="35"/>
      <c r="J8" s="35"/>
      <c r="K8" s="35"/>
      <c r="L8" s="40" t="str">
        <f aca="false">IF(AND($N$3=10),AJ8,AF6)</f>
        <v>Aluguéis / Condominio</v>
      </c>
      <c r="M8" s="40"/>
      <c r="N8" s="41" t="n">
        <f aca="false">SUMIF($H$16:$I$38,L8,$J$16:$K$38)</f>
        <v>0</v>
      </c>
      <c r="O8" s="41"/>
      <c r="S8" s="42" t="n">
        <f aca="false">S7+S5</f>
        <v>0</v>
      </c>
      <c r="T8" s="42" t="n">
        <f aca="false">T7+T5</f>
        <v>0</v>
      </c>
      <c r="U8" s="42"/>
      <c r="V8" s="42"/>
      <c r="X8" s="1" t="n">
        <v>1194</v>
      </c>
      <c r="Y8" s="1" t="s">
        <v>18</v>
      </c>
      <c r="AD8" s="1" t="str">
        <f aca="false">IF(AND($N$3&lt;&gt;10,$N$3&lt;&gt;""),Y8,"")</f>
        <v>assist tec / serviços</v>
      </c>
      <c r="AE8" s="1" t="str">
        <f aca="false">IF(AND($N$3&lt;&gt;"",$N$3=10),X9,"")</f>
        <v/>
      </c>
      <c r="AF8" s="27" t="s">
        <v>19</v>
      </c>
      <c r="AJ8" s="43" t="n">
        <v>1194</v>
      </c>
      <c r="AK8" s="39" t="s">
        <v>17</v>
      </c>
    </row>
    <row r="9" customFormat="false" ht="15.75" hidden="false" customHeight="false" outlineLevel="0" collapsed="false">
      <c r="B9" s="44" t="n">
        <f aca="false">SUM(J16:K38)</f>
        <v>76.5</v>
      </c>
      <c r="C9" s="44"/>
      <c r="D9" s="45"/>
      <c r="E9" s="45"/>
      <c r="F9" s="45"/>
      <c r="G9" s="45"/>
      <c r="H9" s="45"/>
      <c r="I9" s="45"/>
      <c r="J9" s="45"/>
      <c r="K9" s="45"/>
      <c r="L9" s="46" t="str">
        <f aca="false">IF(AND($N$3=10),AJ9,AF7)</f>
        <v>Aquisicao bens</v>
      </c>
      <c r="M9" s="46"/>
      <c r="N9" s="47" t="n">
        <f aca="false">SUMIF($H$16:$I$38,L9,$J$16:$K$38)</f>
        <v>0</v>
      </c>
      <c r="O9" s="47"/>
      <c r="X9" s="1" t="n">
        <v>1380</v>
      </c>
      <c r="Y9" s="1" t="s">
        <v>20</v>
      </c>
      <c r="AD9" s="1" t="str">
        <f aca="false">IF(AND($N$3&lt;&gt;10,$N$3&lt;&gt;""),Y9,"")</f>
        <v>Manut predial</v>
      </c>
      <c r="AE9" s="1" t="str">
        <f aca="false">IF(AND($N$3&lt;&gt;"",$N$3=10),X10,"")</f>
        <v/>
      </c>
      <c r="AF9" s="27" t="s">
        <v>21</v>
      </c>
      <c r="AJ9" s="43" t="n">
        <v>1406</v>
      </c>
      <c r="AK9" s="39" t="s">
        <v>22</v>
      </c>
    </row>
    <row r="10" customFormat="false" ht="15.75" hidden="false" customHeight="false" outlineLevel="0" collapsed="false">
      <c r="B10" s="44"/>
      <c r="C10" s="44"/>
      <c r="D10" s="45"/>
      <c r="E10" s="45"/>
      <c r="F10" s="45"/>
      <c r="G10" s="45"/>
      <c r="H10" s="45"/>
      <c r="I10" s="45"/>
      <c r="J10" s="45"/>
      <c r="K10" s="45"/>
      <c r="L10" s="40" t="str">
        <f aca="false">IF(AND($N$3=10),AJ10,AF8)</f>
        <v>Assessoria Contábil / Financeira</v>
      </c>
      <c r="M10" s="40"/>
      <c r="N10" s="41" t="n">
        <f aca="false">SUMIF($H$16:$I$38,L10,$J$16:$K$38)</f>
        <v>0</v>
      </c>
      <c r="O10" s="41"/>
      <c r="X10" s="1" t="n">
        <v>1406</v>
      </c>
      <c r="Y10" s="1" t="s">
        <v>23</v>
      </c>
      <c r="AD10" s="1" t="str">
        <f aca="false">IF(AND($N$3&lt;&gt;10,$N$3&lt;&gt;""),Y10,"")</f>
        <v>Manut. Bens</v>
      </c>
      <c r="AE10" s="1" t="str">
        <f aca="false">IF(AND($N$3&lt;&gt;"",$N$3=10),X11,"")</f>
        <v/>
      </c>
      <c r="AF10" s="27" t="s">
        <v>24</v>
      </c>
      <c r="AJ10" s="43" t="n">
        <v>1409</v>
      </c>
      <c r="AK10" s="39" t="s">
        <v>25</v>
      </c>
    </row>
    <row r="11" customFormat="false" ht="16.5" hidden="false" customHeight="false" outlineLevel="0" collapsed="false">
      <c r="B11" s="48" t="s">
        <v>26</v>
      </c>
      <c r="C11" s="48"/>
      <c r="D11" s="48"/>
      <c r="E11" s="48"/>
      <c r="F11" s="48"/>
      <c r="G11" s="48"/>
      <c r="H11" s="48"/>
      <c r="I11" s="48"/>
      <c r="J11" s="48"/>
      <c r="K11" s="48"/>
      <c r="L11" s="46" t="str">
        <f aca="false">IF(AND($N$3=10),AJ11,AF9)</f>
        <v>Assessoria Jurídica / Cartório</v>
      </c>
      <c r="M11" s="46"/>
      <c r="N11" s="47" t="n">
        <f aca="false">SUMIF($H$16:$I$38,L11,$J$16:$K$38)</f>
        <v>0</v>
      </c>
      <c r="O11" s="47"/>
      <c r="X11" s="1" t="n">
        <v>1414</v>
      </c>
      <c r="Y11" s="1" t="s">
        <v>27</v>
      </c>
      <c r="AD11" s="1" t="str">
        <f aca="false">IF(AND($N$3&lt;&gt;10,$N$3&lt;&gt;""),Y11,"")</f>
        <v>Aluguéis / Cond.</v>
      </c>
      <c r="AE11" s="1" t="str">
        <f aca="false">IF(AND($N$3&lt;&gt;"",$N$3=10),X12,"")</f>
        <v/>
      </c>
      <c r="AF11" s="3" t="s">
        <v>28</v>
      </c>
      <c r="AJ11" s="43" t="n">
        <v>1412</v>
      </c>
      <c r="AK11" s="39" t="s">
        <v>29</v>
      </c>
    </row>
    <row r="12" customFormat="false" ht="15.75" hidden="false" customHeight="false" outlineLevel="0" collapsed="false">
      <c r="B12" s="49" t="s">
        <v>30</v>
      </c>
      <c r="C12" s="49"/>
      <c r="D12" s="49"/>
      <c r="E12" s="49"/>
      <c r="F12" s="49"/>
      <c r="G12" s="49"/>
      <c r="H12" s="49"/>
      <c r="I12" s="49"/>
      <c r="J12" s="49"/>
      <c r="K12" s="49"/>
      <c r="L12" s="40" t="str">
        <f aca="false">IF(AND($N$3=10),AJ12,AF10)</f>
        <v>assist tecnica / serviços</v>
      </c>
      <c r="M12" s="40"/>
      <c r="N12" s="41" t="n">
        <f aca="false">SUMIF($H$16:$I$38,L12,$J$16:$K$38)</f>
        <v>0</v>
      </c>
      <c r="O12" s="41"/>
      <c r="X12" s="1" t="n">
        <v>1415</v>
      </c>
      <c r="Y12" s="1" t="s">
        <v>31</v>
      </c>
      <c r="AD12" s="1" t="str">
        <f aca="false">IF(AND($N$3&lt;&gt;10,$N$3&lt;&gt;""),Y12,"")</f>
        <v>agua  luz</v>
      </c>
      <c r="AE12" s="1" t="str">
        <f aca="false">IF(AND($N$3&lt;&gt;"",$N$3=10),X13,"")</f>
        <v/>
      </c>
      <c r="AF12" s="27" t="s">
        <v>32</v>
      </c>
      <c r="AJ12" s="43" t="n">
        <v>1413</v>
      </c>
      <c r="AK12" s="39" t="s">
        <v>33</v>
      </c>
    </row>
    <row r="13" customFormat="false" ht="15.75" hidden="false" customHeight="false" outlineLevel="0" collapsed="false"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6" t="str">
        <f aca="false">IF(AND($N$3=10),AJ13,AF11)</f>
        <v>Assist. Médica/Odontologica</v>
      </c>
      <c r="M13" s="46"/>
      <c r="N13" s="47" t="n">
        <f aca="false">SUMIF($H$16:$I$38,L13,$J$16:$K$38)</f>
        <v>0</v>
      </c>
      <c r="O13" s="47"/>
      <c r="X13" s="1" t="n">
        <v>1502</v>
      </c>
      <c r="Y13" s="1" t="s">
        <v>34</v>
      </c>
      <c r="AD13" s="1" t="str">
        <f aca="false">IF(AND($N$3&lt;&gt;10,$N$3&lt;&gt;""),Y13,"")</f>
        <v>iptu / outras taxas</v>
      </c>
      <c r="AE13" s="1" t="str">
        <f aca="false">IF(AND($N$3&lt;&gt;"",$N$3=10),X14,"")</f>
        <v/>
      </c>
      <c r="AF13" s="27" t="s">
        <v>35</v>
      </c>
      <c r="AJ13" s="43" t="n">
        <v>1414</v>
      </c>
      <c r="AK13" s="39" t="s">
        <v>36</v>
      </c>
    </row>
    <row r="14" customFormat="false" ht="15.75" hidden="false" customHeight="false" outlineLevel="0" collapsed="false">
      <c r="B14" s="50" t="s">
        <v>37</v>
      </c>
      <c r="C14" s="50"/>
      <c r="D14" s="50"/>
      <c r="E14" s="50"/>
      <c r="F14" s="50"/>
      <c r="G14" s="50"/>
      <c r="H14" s="51" t="s">
        <v>38</v>
      </c>
      <c r="I14" s="51"/>
      <c r="J14" s="52" t="s">
        <v>39</v>
      </c>
      <c r="K14" s="52"/>
      <c r="L14" s="40" t="str">
        <f aca="false">IF(AND($N$3=10),AJ14,AF12)</f>
        <v>Benefícios / Fretado</v>
      </c>
      <c r="M14" s="40"/>
      <c r="N14" s="41" t="n">
        <f aca="false">SUMIF($H$16:$I$38,L14,$J$16:$K$38)</f>
        <v>0</v>
      </c>
      <c r="O14" s="41"/>
      <c r="X14" s="1" t="n">
        <v>1504</v>
      </c>
      <c r="Y14" s="1" t="s">
        <v>40</v>
      </c>
      <c r="AD14" s="1" t="str">
        <f aca="false">IF(AND($N$3&lt;&gt;10,$N$3&lt;&gt;""),Y14,"")</f>
        <v>Limpeza / Conservação</v>
      </c>
      <c r="AE14" s="1" t="str">
        <f aca="false">IF(AND($N$3&lt;&gt;"",$N$3=10),X15,"")</f>
        <v/>
      </c>
      <c r="AF14" s="27" t="s">
        <v>41</v>
      </c>
      <c r="AJ14" s="43" t="n">
        <v>1415</v>
      </c>
      <c r="AK14" s="39" t="s">
        <v>42</v>
      </c>
    </row>
    <row r="15" customFormat="false" ht="15.75" hidden="false" customHeight="false" outlineLevel="0" collapsed="false">
      <c r="B15" s="50"/>
      <c r="C15" s="50"/>
      <c r="D15" s="50"/>
      <c r="E15" s="50"/>
      <c r="F15" s="50"/>
      <c r="G15" s="50"/>
      <c r="H15" s="51"/>
      <c r="I15" s="51"/>
      <c r="J15" s="52"/>
      <c r="K15" s="52"/>
      <c r="L15" s="46" t="str">
        <f aca="false">IF(AND($N$3=10),AJ15,AF13)</f>
        <v>Cofrinho</v>
      </c>
      <c r="M15" s="46"/>
      <c r="N15" s="47" t="n">
        <f aca="false">SUMIF($H$16:$I$38,L15,$J$16:$K$38)</f>
        <v>0</v>
      </c>
      <c r="O15" s="47"/>
      <c r="X15" s="1" t="n">
        <v>1505</v>
      </c>
      <c r="Y15" s="1" t="s">
        <v>43</v>
      </c>
      <c r="AD15" s="1" t="str">
        <f aca="false">IF(AND($N$3&lt;&gt;10,$N$3&lt;&gt;""),Y15,"")</f>
        <v>Salarios / Ordenados</v>
      </c>
      <c r="AE15" s="1" t="str">
        <f aca="false">IF(AND($N$3&lt;&gt;"",$N$3=10),X16,"")</f>
        <v/>
      </c>
      <c r="AF15" s="3" t="s">
        <v>44</v>
      </c>
      <c r="AJ15" s="43" t="n">
        <v>1416</v>
      </c>
      <c r="AK15" s="39" t="s">
        <v>45</v>
      </c>
    </row>
    <row r="16" customFormat="false" ht="17.35" hidden="false" customHeight="false" outlineLevel="0" collapsed="false">
      <c r="A16" s="53"/>
      <c r="B16" s="54" t="s">
        <v>46</v>
      </c>
      <c r="C16" s="54"/>
      <c r="D16" s="54"/>
      <c r="E16" s="54"/>
      <c r="F16" s="54"/>
      <c r="G16" s="54"/>
      <c r="H16" s="55" t="s">
        <v>47</v>
      </c>
      <c r="I16" s="55"/>
      <c r="J16" s="56" t="n">
        <v>7.65</v>
      </c>
      <c r="K16" s="56"/>
      <c r="L16" s="57" t="str">
        <f aca="false">IF(AND($N$3=10),AJ16,AF14)</f>
        <v>Consumo / Expediente</v>
      </c>
      <c r="M16" s="57"/>
      <c r="N16" s="41" t="n">
        <f aca="false">SUMIF($H$16:$I$38,L16,$J$16:$K$38)</f>
        <v>0</v>
      </c>
      <c r="O16" s="41"/>
      <c r="X16" s="1" t="n">
        <v>1506</v>
      </c>
      <c r="Y16" s="1" t="s">
        <v>48</v>
      </c>
      <c r="AD16" s="1" t="str">
        <f aca="false">IF(AND($N$3&lt;&gt;10,$N$3&lt;&gt;""),Y16,"")</f>
        <v>Rescisão</v>
      </c>
      <c r="AE16" s="1" t="str">
        <f aca="false">IF(AND($N$3&lt;&gt;"",$N$3=10),X17,"")</f>
        <v/>
      </c>
      <c r="AF16" s="27" t="s">
        <v>49</v>
      </c>
      <c r="AJ16" s="43" t="n">
        <v>1417</v>
      </c>
      <c r="AK16" s="39" t="s">
        <v>50</v>
      </c>
    </row>
    <row r="17" customFormat="false" ht="17.35" hidden="false" customHeight="false" outlineLevel="0" collapsed="false">
      <c r="B17" s="58" t="s">
        <v>51</v>
      </c>
      <c r="C17" s="58"/>
      <c r="D17" s="58"/>
      <c r="E17" s="58"/>
      <c r="F17" s="58"/>
      <c r="G17" s="58"/>
      <c r="H17" s="59" t="s">
        <v>47</v>
      </c>
      <c r="I17" s="59"/>
      <c r="J17" s="56" t="n">
        <v>7.65</v>
      </c>
      <c r="K17" s="56"/>
      <c r="L17" s="60" t="str">
        <f aca="false">IF(AND($N$3=10),AJ17,AF15)</f>
        <v>Energia Elétrica</v>
      </c>
      <c r="M17" s="60"/>
      <c r="N17" s="47" t="n">
        <f aca="false">SUMIF($H$16:$I$38,L17,$J$16:$K$38)</f>
        <v>0</v>
      </c>
      <c r="O17" s="47"/>
      <c r="X17" s="1" t="s">
        <v>52</v>
      </c>
      <c r="Y17" s="1" t="s">
        <v>53</v>
      </c>
      <c r="AD17" s="1" t="str">
        <f aca="false">IF(AND($N$3&lt;&gt;10,$N$3&lt;&gt;""),Y17,"")</f>
        <v>Remuneração Indireta</v>
      </c>
      <c r="AE17" s="1" t="str">
        <f aca="false">IF(AND($N$3&lt;&gt;"",$N$3=10),X18,"")</f>
        <v/>
      </c>
      <c r="AF17" s="27" t="s">
        <v>54</v>
      </c>
      <c r="AJ17" s="43" t="n">
        <v>1418</v>
      </c>
      <c r="AK17" s="39" t="s">
        <v>55</v>
      </c>
    </row>
    <row r="18" customFormat="false" ht="17.35" hidden="false" customHeight="false" outlineLevel="0" collapsed="false">
      <c r="B18" s="58" t="s">
        <v>56</v>
      </c>
      <c r="C18" s="58"/>
      <c r="D18" s="58"/>
      <c r="E18" s="58"/>
      <c r="F18" s="58"/>
      <c r="G18" s="58"/>
      <c r="H18" s="61" t="s">
        <v>47</v>
      </c>
      <c r="I18" s="61"/>
      <c r="J18" s="56" t="n">
        <v>15.3</v>
      </c>
      <c r="K18" s="56"/>
      <c r="L18" s="57" t="str">
        <f aca="false">IF(AND($N$3=10),AJ18,AF16)</f>
        <v>Férias</v>
      </c>
      <c r="M18" s="57"/>
      <c r="N18" s="41" t="n">
        <f aca="false">SUMIF($H$16:$I$38,L18,$J$16:$K$38)</f>
        <v>0</v>
      </c>
      <c r="O18" s="41"/>
      <c r="X18" s="1" t="n">
        <v>1530</v>
      </c>
      <c r="Y18" s="1" t="s">
        <v>57</v>
      </c>
      <c r="AD18" s="1" t="str">
        <f aca="false">IF(AND($N$3&lt;&gt;10,$N$3&lt;&gt;""),Y18,"")</f>
        <v>Encargos Sociais</v>
      </c>
      <c r="AE18" s="1" t="str">
        <f aca="false">IF(AND($N$3&lt;&gt;"",$N$3=10),X19,"")</f>
        <v/>
      </c>
      <c r="AF18" s="27" t="s">
        <v>58</v>
      </c>
      <c r="AJ18" s="43" t="n">
        <v>1419</v>
      </c>
      <c r="AK18" s="39" t="s">
        <v>59</v>
      </c>
    </row>
    <row r="19" customFormat="false" ht="17.35" hidden="false" customHeight="false" outlineLevel="0" collapsed="false">
      <c r="B19" s="62" t="s">
        <v>60</v>
      </c>
      <c r="C19" s="62"/>
      <c r="D19" s="62"/>
      <c r="E19" s="62"/>
      <c r="F19" s="62"/>
      <c r="G19" s="62"/>
      <c r="H19" s="59" t="s">
        <v>47</v>
      </c>
      <c r="I19" s="59"/>
      <c r="J19" s="56" t="n">
        <v>15.3</v>
      </c>
      <c r="K19" s="56"/>
      <c r="L19" s="60" t="str">
        <f aca="false">IF(AND($N$3=10),AJ19,AF17)</f>
        <v>Festa Anual</v>
      </c>
      <c r="M19" s="60"/>
      <c r="N19" s="47" t="n">
        <f aca="false">SUMIF($H$16:$I$38,L19,$J$16:$K$38)</f>
        <v>0</v>
      </c>
      <c r="O19" s="47"/>
      <c r="X19" s="1" t="n">
        <v>1531</v>
      </c>
      <c r="Y19" s="1" t="s">
        <v>61</v>
      </c>
      <c r="AD19" s="1" t="str">
        <f aca="false">IF(AND($N$3&lt;&gt;10,$N$3&lt;&gt;""),Y19,"")</f>
        <v>Benefícios/PF</v>
      </c>
      <c r="AE19" s="1" t="str">
        <f aca="false">IF(AND($N$3&lt;&gt;"",$N$3=10),X20,"")</f>
        <v/>
      </c>
      <c r="AF19" s="27" t="s">
        <v>62</v>
      </c>
      <c r="AJ19" s="43" t="n">
        <v>1422</v>
      </c>
      <c r="AK19" s="39" t="s">
        <v>63</v>
      </c>
    </row>
    <row r="20" customFormat="false" ht="17.35" hidden="false" customHeight="false" outlineLevel="0" collapsed="false">
      <c r="B20" s="54" t="s">
        <v>64</v>
      </c>
      <c r="C20" s="54"/>
      <c r="D20" s="54"/>
      <c r="E20" s="54"/>
      <c r="F20" s="54"/>
      <c r="G20" s="54"/>
      <c r="H20" s="61" t="s">
        <v>47</v>
      </c>
      <c r="I20" s="61"/>
      <c r="J20" s="56" t="n">
        <v>15.3</v>
      </c>
      <c r="K20" s="56"/>
      <c r="L20" s="57" t="str">
        <f aca="false">IF(AND($N$3=10),AJ20,AF18)</f>
        <v>FGTS</v>
      </c>
      <c r="M20" s="57"/>
      <c r="N20" s="41" t="n">
        <f aca="false">SUMIF($H$16:$I$38,L20,$J$16:$K$38)</f>
        <v>0</v>
      </c>
      <c r="O20" s="41"/>
      <c r="X20" s="1" t="n">
        <v>1532</v>
      </c>
      <c r="Y20" s="1" t="s">
        <v>65</v>
      </c>
      <c r="AD20" s="1" t="str">
        <f aca="false">IF(AND($N$3&lt;&gt;10,$N$3&lt;&gt;""),Y20,"")</f>
        <v>Provisões 13o Salário / Férias</v>
      </c>
      <c r="AE20" s="1" t="str">
        <f aca="false">IF(AND($N$3&lt;&gt;"",$N$3=10),X21,"")</f>
        <v/>
      </c>
      <c r="AF20" s="27" t="s">
        <v>66</v>
      </c>
      <c r="AJ20" s="43" t="n">
        <v>1425</v>
      </c>
      <c r="AK20" s="39" t="s">
        <v>67</v>
      </c>
    </row>
    <row r="21" customFormat="false" ht="17.35" hidden="false" customHeight="false" outlineLevel="0" collapsed="false">
      <c r="B21" s="58" t="s">
        <v>68</v>
      </c>
      <c r="C21" s="58"/>
      <c r="D21" s="58"/>
      <c r="E21" s="58"/>
      <c r="F21" s="58"/>
      <c r="G21" s="58"/>
      <c r="H21" s="59" t="s">
        <v>47</v>
      </c>
      <c r="I21" s="59"/>
      <c r="J21" s="63" t="n">
        <v>15.3</v>
      </c>
      <c r="K21" s="63"/>
      <c r="L21" s="60" t="str">
        <f aca="false">IF(AND($N$3=10),AJ21,AF19)</f>
        <v>Força Tarefa</v>
      </c>
      <c r="M21" s="60"/>
      <c r="N21" s="47" t="n">
        <f aca="false">SUMIF($H$16:$I$38,L21,$J$16:$K$38)</f>
        <v>0</v>
      </c>
      <c r="O21" s="47"/>
      <c r="X21" s="1" t="n">
        <v>1533</v>
      </c>
      <c r="Y21" s="1" t="s">
        <v>69</v>
      </c>
      <c r="AD21" s="1" t="str">
        <f aca="false">IF(AND($N$3&lt;&gt;10,$N$3&lt;&gt;""),Y21,"")</f>
        <v>Cooperativas / Terceiros</v>
      </c>
      <c r="AE21" s="1" t="str">
        <f aca="false">IF(AND($N$3&lt;&gt;"",$N$3=10),X22,"")</f>
        <v/>
      </c>
      <c r="AF21" s="3" t="s">
        <v>70</v>
      </c>
      <c r="AJ21" s="43" t="n">
        <v>1426</v>
      </c>
      <c r="AK21" s="39" t="s">
        <v>71</v>
      </c>
    </row>
    <row r="22" customFormat="false" ht="17.35" hidden="false" customHeight="false" outlineLevel="0" collapsed="false">
      <c r="B22" s="58"/>
      <c r="C22" s="58"/>
      <c r="D22" s="58"/>
      <c r="E22" s="58"/>
      <c r="F22" s="58"/>
      <c r="G22" s="58"/>
      <c r="H22" s="61"/>
      <c r="I22" s="61"/>
      <c r="J22" s="64"/>
      <c r="K22" s="64"/>
      <c r="L22" s="57" t="str">
        <f aca="false">IF(AND($N$3=10),AJ22,AF20)</f>
        <v>Impressão/Postagem</v>
      </c>
      <c r="M22" s="57"/>
      <c r="N22" s="41" t="n">
        <f aca="false">SUMIF($H$16:$I$38,L22,$J$16:$K$38)</f>
        <v>0</v>
      </c>
      <c r="O22" s="41"/>
      <c r="X22" s="1" t="n">
        <v>1542</v>
      </c>
      <c r="Y22" s="1" t="s">
        <v>72</v>
      </c>
      <c r="AD22" s="1" t="str">
        <f aca="false">IF(AND($N$3&lt;&gt;10,$N$3&lt;&gt;""),Y22,"")</f>
        <v>Prestadores de Serviço</v>
      </c>
      <c r="AE22" s="1" t="str">
        <f aca="false">IF(AND($N$3&lt;&gt;"",$N$3=10),X23,"")</f>
        <v/>
      </c>
      <c r="AF22" s="27" t="s">
        <v>73</v>
      </c>
      <c r="AJ22" s="43" t="n">
        <v>1427</v>
      </c>
      <c r="AK22" s="39" t="s">
        <v>74</v>
      </c>
    </row>
    <row r="23" customFormat="false" ht="17.35" hidden="false" customHeight="false" outlineLevel="0" collapsed="false">
      <c r="B23" s="62"/>
      <c r="C23" s="62"/>
      <c r="D23" s="62"/>
      <c r="E23" s="62"/>
      <c r="F23" s="62"/>
      <c r="G23" s="62"/>
      <c r="H23" s="59"/>
      <c r="I23" s="59"/>
      <c r="J23" s="63"/>
      <c r="K23" s="63"/>
      <c r="L23" s="46" t="str">
        <f aca="false">IF(AND($N$3=10),AJ23,AF21)</f>
        <v>Incentivo</v>
      </c>
      <c r="M23" s="46"/>
      <c r="N23" s="47" t="n">
        <f aca="false">SUMIF($H$16:$I$38,L23,$J$16:$K$38)</f>
        <v>0</v>
      </c>
      <c r="O23" s="47"/>
      <c r="X23" s="1" t="n">
        <v>1543</v>
      </c>
      <c r="Y23" s="1" t="s">
        <v>75</v>
      </c>
      <c r="AD23" s="1" t="str">
        <f aca="false">IF(AND($N$3&lt;&gt;10,$N$3&lt;&gt;""),Y23,"")</f>
        <v>Correios / Encomendas</v>
      </c>
      <c r="AE23" s="1" t="str">
        <f aca="false">IF(AND($N$3&lt;&gt;"",$N$3=10),X24,"")</f>
        <v/>
      </c>
      <c r="AF23" s="3" t="s">
        <v>76</v>
      </c>
      <c r="AJ23" s="43" t="n">
        <v>1428</v>
      </c>
      <c r="AK23" s="65" t="s">
        <v>77</v>
      </c>
    </row>
    <row r="24" customFormat="false" ht="17.35" hidden="false" customHeight="false" outlineLevel="0" collapsed="false">
      <c r="B24" s="58"/>
      <c r="C24" s="58"/>
      <c r="D24" s="58"/>
      <c r="E24" s="58"/>
      <c r="F24" s="58"/>
      <c r="G24" s="58"/>
      <c r="H24" s="61"/>
      <c r="I24" s="61"/>
      <c r="J24" s="64"/>
      <c r="K24" s="64"/>
      <c r="L24" s="40" t="str">
        <f aca="false">IF(AND($N$3=10),AJ24,AF22)</f>
        <v>Inf aplicada/Automação</v>
      </c>
      <c r="M24" s="40"/>
      <c r="N24" s="41" t="n">
        <f aca="false">SUMIF($H$16:$I$38,L24,$J$16:$K$38)</f>
        <v>0</v>
      </c>
      <c r="O24" s="41"/>
      <c r="X24" s="1" t="n">
        <v>1551</v>
      </c>
      <c r="Y24" s="1" t="s">
        <v>78</v>
      </c>
      <c r="AD24" s="1" t="str">
        <f aca="false">IF(AND($N$3&lt;&gt;10,$N$3&lt;&gt;""),Y24,"")</f>
        <v>Propaganda / Publicidade</v>
      </c>
      <c r="AE24" s="1" t="str">
        <f aca="false">IF(AND($N$3&lt;&gt;"",$N$3=10),X25,"")</f>
        <v/>
      </c>
      <c r="AF24" s="27" t="s">
        <v>34</v>
      </c>
      <c r="AJ24" s="43" t="n">
        <v>1465</v>
      </c>
      <c r="AK24" s="66" t="s">
        <v>79</v>
      </c>
    </row>
    <row r="25" customFormat="false" ht="17.35" hidden="false" customHeight="false" outlineLevel="0" collapsed="false">
      <c r="B25" s="62"/>
      <c r="C25" s="62"/>
      <c r="D25" s="62"/>
      <c r="E25" s="62"/>
      <c r="F25" s="62"/>
      <c r="G25" s="62"/>
      <c r="H25" s="59"/>
      <c r="I25" s="59"/>
      <c r="J25" s="63"/>
      <c r="K25" s="63"/>
      <c r="L25" s="46" t="str">
        <f aca="false">IF(AND($N$3=10),AJ25,AF23)</f>
        <v>INSS</v>
      </c>
      <c r="M25" s="46"/>
      <c r="N25" s="47" t="n">
        <f aca="false">SUMIF($H$16:$I$38,L25,$J$16:$K$38)</f>
        <v>0</v>
      </c>
      <c r="O25" s="47"/>
      <c r="X25" s="1" t="n">
        <v>1805</v>
      </c>
      <c r="Y25" s="1" t="s">
        <v>80</v>
      </c>
      <c r="AD25" s="1" t="str">
        <f aca="false">IF(AND($N$3&lt;&gt;10,$N$3&lt;&gt;""),Y25,"")</f>
        <v>Motoboy / Remessas Express</v>
      </c>
      <c r="AE25" s="1" t="str">
        <f aca="false">IF(AND($N$3&lt;&gt;"",$N$3=10),X26,"")</f>
        <v/>
      </c>
      <c r="AF25" s="3" t="s">
        <v>81</v>
      </c>
      <c r="AJ25" s="43" t="n">
        <v>1466</v>
      </c>
      <c r="AK25" s="39" t="s">
        <v>82</v>
      </c>
    </row>
    <row r="26" customFormat="false" ht="17.35" hidden="false" customHeight="false" outlineLevel="0" collapsed="false">
      <c r="B26" s="58"/>
      <c r="C26" s="58"/>
      <c r="D26" s="58"/>
      <c r="E26" s="58"/>
      <c r="F26" s="58"/>
      <c r="G26" s="58"/>
      <c r="H26" s="61"/>
      <c r="I26" s="61"/>
      <c r="J26" s="64"/>
      <c r="K26" s="64"/>
      <c r="L26" s="40" t="str">
        <f aca="false">IF(AND($N$3=10),AJ26,AF24)</f>
        <v>iptu / outras taxas</v>
      </c>
      <c r="M26" s="40"/>
      <c r="N26" s="41" t="n">
        <f aca="false">SUMIF($H$16:$I$38,L26,$J$16:$K$38)</f>
        <v>0</v>
      </c>
      <c r="O26" s="41"/>
      <c r="X26" s="1" t="n">
        <v>1806</v>
      </c>
      <c r="Y26" s="1" t="s">
        <v>83</v>
      </c>
      <c r="AD26" s="1" t="str">
        <f aca="false">IF(AND($N$3&lt;&gt;10,$N$3&lt;&gt;""),Y26,"")</f>
        <v>Telecomunicações / Telefonia</v>
      </c>
      <c r="AE26" s="1" t="str">
        <f aca="false">IF(AND($N$3&lt;&gt;"",$N$3=10),X27,"")</f>
        <v/>
      </c>
      <c r="AF26" s="3" t="s">
        <v>84</v>
      </c>
      <c r="AJ26" s="43" t="n">
        <v>1469</v>
      </c>
      <c r="AK26" s="39" t="s">
        <v>85</v>
      </c>
    </row>
    <row r="27" customFormat="false" ht="17.35" hidden="false" customHeight="false" outlineLevel="0" collapsed="false">
      <c r="B27" s="62"/>
      <c r="C27" s="62"/>
      <c r="D27" s="62"/>
      <c r="E27" s="62"/>
      <c r="F27" s="62"/>
      <c r="G27" s="62"/>
      <c r="H27" s="59"/>
      <c r="I27" s="59"/>
      <c r="J27" s="67"/>
      <c r="K27" s="67"/>
      <c r="L27" s="46" t="str">
        <f aca="false">IF(AND($N$3=10),AJ27,AF25)</f>
        <v>IRRF</v>
      </c>
      <c r="M27" s="46"/>
      <c r="N27" s="47" t="n">
        <f aca="false">SUMIF($H$16:$I$38,L27,$J$16:$K$38)</f>
        <v>0</v>
      </c>
      <c r="O27" s="47"/>
      <c r="X27" s="1" t="n">
        <v>1952</v>
      </c>
      <c r="Y27" s="1" t="s">
        <v>19</v>
      </c>
      <c r="AD27" s="1" t="str">
        <f aca="false">IF(AND($N$3&lt;&gt;10,$N$3&lt;&gt;""),Y27,"")</f>
        <v>Assessoria Contábil / Financeira</v>
      </c>
      <c r="AE27" s="1" t="str">
        <f aca="false">IF(AND($N$3&lt;&gt;"",$N$3=10),X28,"")</f>
        <v/>
      </c>
      <c r="AF27" s="27" t="s">
        <v>40</v>
      </c>
      <c r="AJ27" s="43" t="n">
        <v>1475</v>
      </c>
      <c r="AK27" s="39" t="s">
        <v>86</v>
      </c>
    </row>
    <row r="28" customFormat="false" ht="17.35" hidden="false" customHeight="false" outlineLevel="0" collapsed="false">
      <c r="B28" s="58"/>
      <c r="C28" s="58"/>
      <c r="D28" s="58"/>
      <c r="E28" s="58"/>
      <c r="F28" s="58"/>
      <c r="G28" s="58"/>
      <c r="H28" s="68"/>
      <c r="I28" s="68"/>
      <c r="J28" s="64"/>
      <c r="K28" s="64"/>
      <c r="L28" s="40" t="str">
        <f aca="false">IF(AND($N$3=10),AJ28,AF26)</f>
        <v>ISS</v>
      </c>
      <c r="M28" s="40"/>
      <c r="N28" s="41" t="n">
        <f aca="false">SUMIF($H$16:$I$38,L28,$J$16:$K$38)</f>
        <v>0</v>
      </c>
      <c r="O28" s="41"/>
      <c r="X28" s="1" t="n">
        <v>1966</v>
      </c>
      <c r="Y28" s="1" t="s">
        <v>87</v>
      </c>
      <c r="AD28" s="1" t="str">
        <f aca="false">IF(AND($N$3&lt;&gt;10,$N$3&lt;&gt;""),Y28,"")</f>
        <v>Assessoria Jurídica/Cartório</v>
      </c>
      <c r="AE28" s="1" t="str">
        <f aca="false">IF(AND($N$3&lt;&gt;"",$N$3=10),X29,"")</f>
        <v/>
      </c>
      <c r="AF28" s="27" t="s">
        <v>15</v>
      </c>
      <c r="AJ28" s="43" t="n">
        <v>1476</v>
      </c>
      <c r="AK28" s="39" t="s">
        <v>88</v>
      </c>
    </row>
    <row r="29" customFormat="false" ht="24" hidden="false" customHeight="false" outlineLevel="0" collapsed="false">
      <c r="B29" s="69"/>
      <c r="C29" s="69"/>
      <c r="D29" s="69"/>
      <c r="E29" s="69"/>
      <c r="F29" s="69"/>
      <c r="G29" s="69"/>
      <c r="H29" s="70"/>
      <c r="I29" s="70"/>
      <c r="J29" s="71"/>
      <c r="K29" s="71"/>
      <c r="L29" s="46" t="str">
        <f aca="false">IF(AND($N$3=10),AJ29,AF27)</f>
        <v>Limpeza / Conservação</v>
      </c>
      <c r="M29" s="46"/>
      <c r="N29" s="47" t="n">
        <f aca="false">SUMIF($H$16:$I$38,L29,$J$16:$K$38)</f>
        <v>0</v>
      </c>
      <c r="O29" s="47"/>
      <c r="X29" s="1" t="n">
        <v>1967</v>
      </c>
      <c r="Y29" s="1" t="s">
        <v>89</v>
      </c>
      <c r="AD29" s="1" t="str">
        <f aca="false">IF(AND($N$3&lt;&gt;10,$N$3&lt;&gt;""),Y29,"")</f>
        <v>Assinaturas / Publicações</v>
      </c>
      <c r="AE29" s="1" t="str">
        <f aca="false">IF(AND($N$3&lt;&gt;"",$N$3=10),X30,"")</f>
        <v/>
      </c>
      <c r="AF29" s="27" t="s">
        <v>90</v>
      </c>
      <c r="AJ29" s="43" t="n">
        <v>1477</v>
      </c>
      <c r="AK29" s="39" t="s">
        <v>91</v>
      </c>
    </row>
    <row r="30" customFormat="false" ht="24" hidden="false" customHeight="false" outlineLevel="0" collapsed="false">
      <c r="B30" s="72"/>
      <c r="C30" s="72"/>
      <c r="D30" s="72"/>
      <c r="E30" s="72"/>
      <c r="F30" s="72"/>
      <c r="G30" s="72"/>
      <c r="H30" s="73"/>
      <c r="I30" s="73"/>
      <c r="J30" s="74"/>
      <c r="K30" s="74"/>
      <c r="L30" s="40" t="str">
        <f aca="false">IF(AND($N$3=10),AJ30,AF28)</f>
        <v>Link Dados / Locação</v>
      </c>
      <c r="M30" s="40"/>
      <c r="N30" s="41" t="n">
        <f aca="false">SUMIF($H$16:$I$38,L30,$J$16:$K$38)</f>
        <v>0</v>
      </c>
      <c r="O30" s="41"/>
      <c r="X30" s="1" t="n">
        <v>1994</v>
      </c>
      <c r="Y30" s="1" t="s">
        <v>41</v>
      </c>
      <c r="AD30" s="1" t="str">
        <f aca="false">IF(AND($N$3&lt;&gt;10,$N$3&lt;&gt;""),Y30,"")</f>
        <v>Consumo / Expediente</v>
      </c>
      <c r="AE30" s="1" t="str">
        <f aca="false">IF(AND($N$3&lt;&gt;"",$N$3=10),X31,"")</f>
        <v/>
      </c>
      <c r="AF30" s="27" t="s">
        <v>92</v>
      </c>
      <c r="AJ30" s="43" t="n">
        <v>1502</v>
      </c>
      <c r="AK30" s="39" t="s">
        <v>93</v>
      </c>
    </row>
    <row r="31" customFormat="false" ht="24" hidden="false" customHeight="false" outlineLevel="0" collapsed="false">
      <c r="B31" s="69"/>
      <c r="C31" s="69"/>
      <c r="D31" s="69"/>
      <c r="E31" s="69"/>
      <c r="F31" s="69"/>
      <c r="G31" s="69"/>
      <c r="H31" s="70"/>
      <c r="I31" s="70"/>
      <c r="J31" s="71"/>
      <c r="K31" s="71"/>
      <c r="L31" s="46" t="str">
        <f aca="false">IF(AND($N$3=10),AJ31,AF29)</f>
        <v>Manutenção Bens</v>
      </c>
      <c r="M31" s="46"/>
      <c r="N31" s="47" t="n">
        <f aca="false">SUMIF($H$16:$I$38,L31,$J$16:$K$38)</f>
        <v>0</v>
      </c>
      <c r="O31" s="47"/>
      <c r="X31" s="1" t="n">
        <v>1997</v>
      </c>
      <c r="Y31" s="1" t="s">
        <v>94</v>
      </c>
      <c r="AD31" s="1" t="str">
        <f aca="false">IF(AND($N$3&lt;&gt;10,$N$3&lt;&gt;""),Y31,"")</f>
        <v>Viagens / Estadas</v>
      </c>
      <c r="AE31" s="1" t="str">
        <f aca="false">IF(AND($N$3&lt;&gt;"",$N$3=10),X32,"")</f>
        <v/>
      </c>
      <c r="AF31" s="27" t="s">
        <v>80</v>
      </c>
      <c r="AJ31" s="43" t="n">
        <v>1504</v>
      </c>
      <c r="AK31" s="39" t="s">
        <v>95</v>
      </c>
    </row>
    <row r="32" customFormat="false" ht="24" hidden="false" customHeight="false" outlineLevel="0" collapsed="false">
      <c r="B32" s="72"/>
      <c r="C32" s="72"/>
      <c r="D32" s="72"/>
      <c r="E32" s="72"/>
      <c r="F32" s="72"/>
      <c r="G32" s="72"/>
      <c r="H32" s="73"/>
      <c r="I32" s="73"/>
      <c r="J32" s="74"/>
      <c r="K32" s="74"/>
      <c r="L32" s="40" t="str">
        <f aca="false">IF(AND($N$3=10),AJ32,AF30)</f>
        <v>Manutenção predial</v>
      </c>
      <c r="M32" s="40"/>
      <c r="N32" s="41" t="n">
        <f aca="false">SUMIF($H$16:$I$38,L32,$J$16:$K$38)</f>
        <v>0</v>
      </c>
      <c r="O32" s="41"/>
      <c r="X32" s="1" t="n">
        <v>3003</v>
      </c>
      <c r="Y32" s="1" t="s">
        <v>16</v>
      </c>
      <c r="AD32" s="1" t="str">
        <f aca="false">IF(AND($N$3&lt;&gt;10,$N$3&lt;&gt;""),Y32,"")</f>
        <v>Aquisicao bens</v>
      </c>
      <c r="AE32" s="1" t="str">
        <f aca="false">IF(AND($N$3&lt;&gt;"",$N$3=10),X33,"")</f>
        <v/>
      </c>
      <c r="AF32" s="27" t="s">
        <v>96</v>
      </c>
      <c r="AJ32" s="43" t="n">
        <v>1505</v>
      </c>
      <c r="AK32" s="39" t="s">
        <v>97</v>
      </c>
    </row>
    <row r="33" customFormat="false" ht="24" hidden="false" customHeight="false" outlineLevel="0" collapsed="false">
      <c r="B33" s="69"/>
      <c r="C33" s="69"/>
      <c r="D33" s="69"/>
      <c r="E33" s="69"/>
      <c r="F33" s="69"/>
      <c r="G33" s="69"/>
      <c r="H33" s="70"/>
      <c r="I33" s="70"/>
      <c r="J33" s="71"/>
      <c r="K33" s="71"/>
      <c r="L33" s="46" t="str">
        <f aca="false">IF(AND($N$3=10),AJ33,AF31)</f>
        <v>Motoboy / Remessas Express</v>
      </c>
      <c r="M33" s="46"/>
      <c r="N33" s="47" t="n">
        <f aca="false">SUMIF($H$16:$I$38,L33,$J$16:$K$38)</f>
        <v>0</v>
      </c>
      <c r="O33" s="47"/>
      <c r="X33" s="1" t="n">
        <v>3131</v>
      </c>
      <c r="Y33" s="1" t="s">
        <v>96</v>
      </c>
      <c r="Z33" s="1" t="e">
        <f aca="false">IF(#REF!="X",1,0)</f>
        <v>#REF!</v>
      </c>
      <c r="AA33" s="1" t="n">
        <f aca="false">IF(G40="X",1,0)</f>
        <v>0</v>
      </c>
      <c r="AB33" s="1" t="n">
        <f aca="false">IF(J40="X",1,0)</f>
        <v>0</v>
      </c>
      <c r="AC33" s="1" t="e">
        <f aca="false">SUM(Y33:AB33)</f>
        <v>#REF!</v>
      </c>
      <c r="AD33" s="1" t="str">
        <f aca="false">IF(AND($N$3&lt;&gt;10,$N$3&lt;&gt;""),Y33,"")</f>
        <v>Outras Despesas</v>
      </c>
      <c r="AE33" s="1" t="str">
        <f aca="false">IF(AND($N$3&lt;&gt;"",$N$3=10),X34,"")</f>
        <v/>
      </c>
      <c r="AF33" s="27" t="s">
        <v>98</v>
      </c>
      <c r="AJ33" s="43" t="n">
        <v>1506</v>
      </c>
      <c r="AK33" s="39" t="s">
        <v>99</v>
      </c>
    </row>
    <row r="34" customFormat="false" ht="24" hidden="false" customHeight="false" outlineLevel="0" collapsed="false">
      <c r="B34" s="72"/>
      <c r="C34" s="72"/>
      <c r="D34" s="72"/>
      <c r="E34" s="72"/>
      <c r="F34" s="72"/>
      <c r="G34" s="72"/>
      <c r="H34" s="73"/>
      <c r="I34" s="73"/>
      <c r="J34" s="74"/>
      <c r="K34" s="74"/>
      <c r="L34" s="40" t="str">
        <f aca="false">IF(AND($N$3=10),AJ34,AF32)</f>
        <v>Outras Despesas</v>
      </c>
      <c r="M34" s="40"/>
      <c r="N34" s="41" t="n">
        <f aca="false">SUMIF($H$16:$I$38,L34,$J$16:$K$38)</f>
        <v>0</v>
      </c>
      <c r="O34" s="41"/>
      <c r="X34" s="1" t="n">
        <v>3132</v>
      </c>
      <c r="Y34" s="1" t="s">
        <v>100</v>
      </c>
      <c r="AD34" s="1" t="str">
        <f aca="false">IF(AND($N$3&lt;&gt;10,$N$3&lt;&gt;""),Y34,"")</f>
        <v>Bancos</v>
      </c>
      <c r="AE34" s="1" t="str">
        <f aca="false">IF(AND($N$3&lt;&gt;"",$N$3=10),X35,"")</f>
        <v/>
      </c>
      <c r="AF34" s="3" t="s">
        <v>101</v>
      </c>
      <c r="AJ34" s="43" t="n">
        <v>1522</v>
      </c>
      <c r="AK34" s="39" t="s">
        <v>102</v>
      </c>
    </row>
    <row r="35" customFormat="false" ht="24" hidden="false" customHeight="false" outlineLevel="0" collapsed="false">
      <c r="B35" s="69"/>
      <c r="C35" s="69"/>
      <c r="D35" s="69"/>
      <c r="E35" s="69"/>
      <c r="F35" s="69"/>
      <c r="G35" s="69"/>
      <c r="H35" s="70"/>
      <c r="I35" s="70"/>
      <c r="J35" s="71"/>
      <c r="K35" s="71"/>
      <c r="L35" s="46" t="str">
        <f aca="false">IF(AND($N$3=10),AJ35,AF33)</f>
        <v>Parcelamentos</v>
      </c>
      <c r="M35" s="46"/>
      <c r="N35" s="47" t="n">
        <f aca="false">SUMIF($H$16:$I$38,L35,$J$16:$K$38)</f>
        <v>0</v>
      </c>
      <c r="O35" s="47"/>
      <c r="X35" s="1" t="n">
        <v>3178</v>
      </c>
      <c r="Y35" s="1" t="s">
        <v>103</v>
      </c>
      <c r="AC35" s="1" t="e">
        <f aca="false">IF(AC33=0,"Digite o X em alguma das opções acima","")</f>
        <v>#REF!</v>
      </c>
      <c r="AD35" s="1" t="str">
        <f aca="false">IF(AND($N$3&lt;&gt;10,$N$3&lt;&gt;""),Y35,"")</f>
        <v>Leasings/CDC/Consorcios</v>
      </c>
      <c r="AE35" s="1" t="str">
        <f aca="false">IF(AND($N$3&lt;&gt;"",$N$3=10),X36,"")</f>
        <v/>
      </c>
      <c r="AF35" s="27" t="s">
        <v>72</v>
      </c>
      <c r="AJ35" s="43" t="n">
        <v>1530</v>
      </c>
      <c r="AK35" s="39" t="s">
        <v>104</v>
      </c>
    </row>
    <row r="36" customFormat="false" ht="24" hidden="false" customHeight="false" outlineLevel="0" collapsed="false">
      <c r="B36" s="72"/>
      <c r="C36" s="72"/>
      <c r="D36" s="72"/>
      <c r="E36" s="72"/>
      <c r="F36" s="72"/>
      <c r="G36" s="72"/>
      <c r="H36" s="73"/>
      <c r="I36" s="73"/>
      <c r="J36" s="74"/>
      <c r="K36" s="74"/>
      <c r="L36" s="40" t="str">
        <f aca="false">IF(AND($N$3=10),AJ36,AF34)</f>
        <v>PIS/COFINS/CSLL</v>
      </c>
      <c r="M36" s="40"/>
      <c r="N36" s="41" t="n">
        <f aca="false">SUMIF($H$16:$I$38,L36,$J$16:$K$38)</f>
        <v>0</v>
      </c>
      <c r="O36" s="41"/>
      <c r="X36" s="1" t="n">
        <v>3770</v>
      </c>
      <c r="Y36" s="1" t="s">
        <v>105</v>
      </c>
      <c r="AC36" s="1" t="e">
        <f aca="false">IF(AC33&gt;1,"Digite apenas uma das opções acima","")</f>
        <v>#REF!</v>
      </c>
      <c r="AD36" s="1" t="str">
        <f aca="false">IF(AND($N$3&lt;&gt;10,$N$3&lt;&gt;""),Y36,"")</f>
        <v>Descontos</v>
      </c>
      <c r="AE36" s="1" t="str">
        <f aca="false">IF(AND($N$3&lt;&gt;"",$N$3=10),X37,"")</f>
        <v/>
      </c>
      <c r="AF36" s="27" t="s">
        <v>78</v>
      </c>
      <c r="AJ36" s="43" t="n">
        <v>1531</v>
      </c>
      <c r="AK36" s="39" t="s">
        <v>106</v>
      </c>
    </row>
    <row r="37" customFormat="false" ht="24" hidden="false" customHeight="false" outlineLevel="0" collapsed="false">
      <c r="B37" s="69"/>
      <c r="C37" s="69"/>
      <c r="D37" s="69"/>
      <c r="E37" s="69"/>
      <c r="F37" s="69"/>
      <c r="G37" s="69"/>
      <c r="H37" s="70"/>
      <c r="I37" s="70"/>
      <c r="J37" s="71"/>
      <c r="K37" s="71"/>
      <c r="L37" s="46" t="str">
        <f aca="false">IF(AND($N$3=10),AJ37,AF35)</f>
        <v>Prestadores de Serviço</v>
      </c>
      <c r="M37" s="46"/>
      <c r="N37" s="47" t="n">
        <f aca="false">SUMIF($H$16:$I$38,L37,$J$16:$K$38)</f>
        <v>0</v>
      </c>
      <c r="O37" s="47"/>
      <c r="X37" s="1" t="n">
        <v>4141</v>
      </c>
      <c r="Y37" s="1" t="s">
        <v>98</v>
      </c>
      <c r="AC37" s="20" t="e">
        <f aca="false">CONCATENATE(AC35,AC36)</f>
        <v>#REF!</v>
      </c>
      <c r="AD37" s="1" t="str">
        <f aca="false">IF(AND($N$3&lt;&gt;10,$N$3&lt;&gt;""),Y37,"")</f>
        <v>Parcelamentos</v>
      </c>
      <c r="AE37" s="1" t="str">
        <f aca="false">IF(AND($N$3&lt;&gt;"",$N$3=10),X38,"")</f>
        <v/>
      </c>
      <c r="AF37" s="27" t="s">
        <v>107</v>
      </c>
      <c r="AJ37" s="43" t="n">
        <v>1532</v>
      </c>
      <c r="AK37" s="39" t="s">
        <v>108</v>
      </c>
    </row>
    <row r="38" customFormat="false" ht="24" hidden="false" customHeight="false" outlineLevel="0" collapsed="false">
      <c r="B38" s="75"/>
      <c r="C38" s="75"/>
      <c r="D38" s="75"/>
      <c r="E38" s="75"/>
      <c r="F38" s="75"/>
      <c r="G38" s="75"/>
      <c r="H38" s="73"/>
      <c r="I38" s="73"/>
      <c r="J38" s="74"/>
      <c r="K38" s="74"/>
      <c r="L38" s="40" t="str">
        <f aca="false">IF(AND($N$3=10),AJ38,AF36)</f>
        <v>Propaganda / Publicidade</v>
      </c>
      <c r="M38" s="40"/>
      <c r="N38" s="41" t="n">
        <f aca="false">SUMIF($H$16:$I$38,L38,$J$16:$K$38)</f>
        <v>0</v>
      </c>
      <c r="O38" s="41"/>
      <c r="X38" s="1" t="n">
        <v>4142</v>
      </c>
      <c r="Y38" s="1" t="s">
        <v>109</v>
      </c>
      <c r="AD38" s="1" t="str">
        <f aca="false">IF(AND($N$3&lt;&gt;10,$N$3&lt;&gt;""),Y38,"")</f>
        <v>Investimentos</v>
      </c>
      <c r="AE38" s="1" t="str">
        <f aca="false">IF(AND($N$3&lt;&gt;"",$N$3=10),X39,"")</f>
        <v/>
      </c>
      <c r="AF38" s="27" t="s">
        <v>48</v>
      </c>
      <c r="AJ38" s="43" t="n">
        <v>1533</v>
      </c>
      <c r="AK38" s="39" t="s">
        <v>110</v>
      </c>
    </row>
    <row r="39" customFormat="false" ht="15.75" hidden="false" customHeight="false" outlineLevel="0" collapsed="false">
      <c r="B39" s="6" t="s">
        <v>111</v>
      </c>
      <c r="C39" s="6"/>
      <c r="D39" s="6"/>
      <c r="E39" s="6"/>
      <c r="F39" s="6"/>
      <c r="G39" s="6"/>
      <c r="H39" s="6"/>
      <c r="I39" s="6"/>
      <c r="J39" s="6"/>
      <c r="K39" s="6"/>
      <c r="L39" s="46" t="str">
        <f aca="false">IF(AND($N$3=10),AJ39,AF37)</f>
        <v>Remuneração indireta</v>
      </c>
      <c r="M39" s="46"/>
      <c r="N39" s="47" t="n">
        <f aca="false">SUMIF($H$16:$I$38,L39,$J$16:$K$38)</f>
        <v>0</v>
      </c>
      <c r="O39" s="47"/>
      <c r="X39" s="1" t="n">
        <v>4645</v>
      </c>
      <c r="Y39" s="1" t="s">
        <v>112</v>
      </c>
      <c r="AD39" s="1" t="str">
        <f aca="false">IF(AND($N$3&lt;&gt;10,$N$3&lt;&gt;""),Y39,"")</f>
        <v>Depreciações</v>
      </c>
      <c r="AE39" s="1" t="str">
        <f aca="false">IF(AND($N$3&lt;&gt;"",$N$3=10),X40,"")</f>
        <v/>
      </c>
      <c r="AF39" s="27" t="s">
        <v>43</v>
      </c>
      <c r="AJ39" s="43" t="n">
        <v>1535</v>
      </c>
      <c r="AK39" s="39" t="s">
        <v>113</v>
      </c>
    </row>
    <row r="40" s="76" customFormat="true" ht="15.75" hidden="false" customHeight="false" outlineLevel="0" collapsed="false">
      <c r="B40" s="77" t="s">
        <v>114</v>
      </c>
      <c r="C40" s="77" t="s">
        <v>115</v>
      </c>
      <c r="D40" s="77"/>
      <c r="E40" s="77" t="s">
        <v>116</v>
      </c>
      <c r="F40" s="77"/>
      <c r="G40" s="77"/>
      <c r="H40" s="77" t="s">
        <v>117</v>
      </c>
      <c r="I40" s="77"/>
      <c r="J40" s="78" t="s">
        <v>118</v>
      </c>
      <c r="K40" s="78"/>
      <c r="L40" s="79" t="str">
        <f aca="false">IF(AND($N$3=10),AJ40,AF38)</f>
        <v>Rescisão</v>
      </c>
      <c r="M40" s="79"/>
      <c r="N40" s="80" t="n">
        <f aca="false">SUMIF($H$16:$I$38,L40,$J$16:$K$38)</f>
        <v>0</v>
      </c>
      <c r="O40" s="80"/>
      <c r="P40" s="81"/>
      <c r="X40" s="76" t="n">
        <v>5153</v>
      </c>
      <c r="AE40" s="76" t="str">
        <f aca="false">IF(AND($N$3&lt;&gt;"",$N$3=10),X41,"")</f>
        <v/>
      </c>
      <c r="AF40" s="82" t="s">
        <v>119</v>
      </c>
      <c r="AI40" s="83"/>
      <c r="AJ40" s="84" t="n">
        <v>1536</v>
      </c>
      <c r="AK40" s="85" t="s">
        <v>120</v>
      </c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</row>
    <row r="41" s="86" customFormat="true" ht="15.75" hidden="false" customHeight="false" outlineLevel="0" collapsed="false"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8" t="str">
        <f aca="false">IF(AND($N$3=10),AJ41,AF39)</f>
        <v>Salarios / Ordenados</v>
      </c>
      <c r="M41" s="88"/>
      <c r="N41" s="89" t="n">
        <f aca="false">SUMIF($H$16:$I$38,L41,$J$16:$K$38)</f>
        <v>0</v>
      </c>
      <c r="O41" s="89"/>
      <c r="P41" s="90"/>
      <c r="X41" s="86" t="n">
        <v>5154</v>
      </c>
      <c r="Y41" s="86" t="e">
        <f aca="false">IF(AND(#REF!="x",AC33&lt;&gt;4),"Anexar Boleto","")</f>
        <v>#REF!</v>
      </c>
      <c r="AE41" s="86" t="str">
        <f aca="false">IF(AND($N$3&lt;&gt;"",$N$3=10),X42,"")</f>
        <v/>
      </c>
      <c r="AF41" s="91" t="s">
        <v>121</v>
      </c>
      <c r="AG41" s="86" t="e">
        <f aca="false">IF(#REF!="X",1,0)</f>
        <v>#REF!</v>
      </c>
      <c r="AI41" s="92"/>
      <c r="AJ41" s="93" t="n">
        <v>1538</v>
      </c>
      <c r="AK41" s="94" t="s">
        <v>122</v>
      </c>
      <c r="AL41" s="92"/>
      <c r="AM41" s="92"/>
      <c r="AN41" s="92"/>
      <c r="AO41" s="92"/>
      <c r="AP41" s="92" t="e">
        <f aca="false">IF(#REF!="X",1,0)</f>
        <v>#REF!</v>
      </c>
      <c r="AQ41" s="92" t="e">
        <f aca="false">IF(#REF!="X",1,0)</f>
        <v>#REF!</v>
      </c>
      <c r="AR41" s="92" t="n">
        <f aca="false">IF(G40="X",1,0)</f>
        <v>0</v>
      </c>
      <c r="AS41" s="92" t="n">
        <f aca="false">IF(J40="X",1,0)</f>
        <v>0</v>
      </c>
      <c r="AT41" s="92" t="e">
        <f aca="false">SUM(AP41:AS41)</f>
        <v>#REF!</v>
      </c>
      <c r="AU41" s="92"/>
      <c r="AV41" s="92"/>
      <c r="AW41" s="92"/>
      <c r="AX41" s="92"/>
      <c r="AY41" s="92"/>
      <c r="AZ41" s="92"/>
      <c r="BA41" s="92"/>
      <c r="BB41" s="92"/>
      <c r="BC41" s="92"/>
      <c r="BD41" s="92"/>
    </row>
    <row r="42" customFormat="false" ht="15.75" hidden="false" customHeight="false" outlineLevel="0" collapsed="false">
      <c r="B42" s="95" t="str">
        <f aca="false">IF($AS$48=1,"PREENCHA OS DADOS BANCÁRIOS","")</f>
        <v/>
      </c>
      <c r="C42" s="95"/>
      <c r="D42" s="95"/>
      <c r="E42" s="95"/>
      <c r="F42" s="95"/>
      <c r="G42" s="95"/>
      <c r="H42" s="95"/>
      <c r="I42" s="95"/>
      <c r="J42" s="95"/>
      <c r="K42" s="95"/>
      <c r="L42" s="96" t="str">
        <f aca="false">IF(AND($N$3=10),AJ42,AF40)</f>
        <v>SMS</v>
      </c>
      <c r="M42" s="96"/>
      <c r="N42" s="41" t="n">
        <f aca="false">SUMIF($H$16:$I$38,L42,$J$16:$K$38)</f>
        <v>0</v>
      </c>
      <c r="O42" s="41"/>
      <c r="X42" s="1" t="n">
        <v>6600</v>
      </c>
      <c r="Y42" s="86" t="e">
        <f aca="false">IF(AND($J$40="X",$AC$33&lt;&gt;4),"Banco:","")</f>
        <v>#REF!</v>
      </c>
      <c r="AE42" s="1" t="str">
        <f aca="false">IF(AND($N$3&lt;&gt;"",$N$3=10),X43,"")</f>
        <v/>
      </c>
      <c r="AF42" s="27" t="s">
        <v>83</v>
      </c>
      <c r="AJ42" s="43" t="n">
        <v>1541</v>
      </c>
      <c r="AK42" s="39" t="s">
        <v>123</v>
      </c>
    </row>
    <row r="43" customFormat="false" ht="19.5" hidden="false" customHeight="false" outlineLevel="0" collapsed="false">
      <c r="B43" s="97" t="s">
        <v>124</v>
      </c>
      <c r="C43" s="97"/>
      <c r="D43" s="97"/>
      <c r="E43" s="98" t="s">
        <v>125</v>
      </c>
      <c r="F43" s="98"/>
      <c r="G43" s="99" t="s">
        <v>126</v>
      </c>
      <c r="H43" s="100" t="s">
        <v>127</v>
      </c>
      <c r="I43" s="100"/>
      <c r="J43" s="100"/>
      <c r="K43" s="101"/>
      <c r="L43" s="46" t="str">
        <f aca="false">IF(AND($N$3=10),AJ43,AF41)</f>
        <v>Tabelionato</v>
      </c>
      <c r="M43" s="46"/>
      <c r="N43" s="47" t="n">
        <f aca="false">SUMIF($H$16:$I$38,L43,$J$16:$K$38)</f>
        <v>0</v>
      </c>
      <c r="O43" s="47"/>
      <c r="X43" s="1" t="n">
        <v>7533</v>
      </c>
      <c r="Y43" s="86" t="e">
        <f aca="false">IF(AND($J$40="X",$AC$33&lt;&gt;4),"Agência:","")</f>
        <v>#REF!</v>
      </c>
      <c r="AE43" s="1" t="str">
        <f aca="false">IF(AND($N$3&lt;&gt;"",$N$3=10),X44,"")</f>
        <v/>
      </c>
      <c r="AF43" s="27" t="s">
        <v>128</v>
      </c>
      <c r="AJ43" s="43" t="n">
        <v>1542</v>
      </c>
      <c r="AK43" s="39" t="s">
        <v>129</v>
      </c>
      <c r="AT43" s="102" t="e">
        <f aca="false">IF(AT41=0,"Digite o X em alguma das opções ACIMA","")</f>
        <v>#REF!</v>
      </c>
    </row>
    <row r="44" customFormat="false" ht="15.75" hidden="false" customHeight="true" outlineLevel="0" collapsed="false">
      <c r="B44" s="103" t="s">
        <v>130</v>
      </c>
      <c r="C44" s="103"/>
      <c r="D44" s="103"/>
      <c r="E44" s="104" t="s">
        <v>131</v>
      </c>
      <c r="F44" s="104"/>
      <c r="G44" s="105" t="n">
        <v>2045</v>
      </c>
      <c r="H44" s="106" t="s">
        <v>132</v>
      </c>
      <c r="I44" s="106"/>
      <c r="J44" s="106"/>
      <c r="K44" s="101"/>
      <c r="L44" s="96" t="str">
        <f aca="false">IF(AND($N$3=10),AJ44,AF42)</f>
        <v>Telecomunicações / Telefonia</v>
      </c>
      <c r="M44" s="96"/>
      <c r="N44" s="41" t="n">
        <f aca="false">SUMIF($H$16:$I$38,L44,$J$16:$K$38)</f>
        <v>0</v>
      </c>
      <c r="O44" s="41"/>
      <c r="X44" s="1" t="n">
        <v>7702</v>
      </c>
      <c r="Y44" s="86" t="e">
        <f aca="false">IF(AND($J$40="X",$AC$33&lt;&gt;4),"CC / CP:","")</f>
        <v>#REF!</v>
      </c>
      <c r="AE44" s="1" t="str">
        <f aca="false">IF(AND($N$3&lt;&gt;"",$N$3=10),X45,"")</f>
        <v/>
      </c>
      <c r="AF44" s="27" t="s">
        <v>133</v>
      </c>
      <c r="AJ44" s="43" t="n">
        <v>1543</v>
      </c>
      <c r="AK44" s="39" t="s">
        <v>134</v>
      </c>
      <c r="AT44" s="4" t="e">
        <f aca="false">IF(AT41&gt;1,"digite apenas uma opção","")</f>
        <v>#REF!</v>
      </c>
    </row>
    <row r="45" customFormat="false" ht="15.75" hidden="false" customHeight="true" outlineLevel="0" collapsed="false">
      <c r="B45" s="103"/>
      <c r="C45" s="103"/>
      <c r="D45" s="103"/>
      <c r="E45" s="104"/>
      <c r="F45" s="104"/>
      <c r="G45" s="105"/>
      <c r="H45" s="106"/>
      <c r="I45" s="106"/>
      <c r="J45" s="106"/>
      <c r="K45" s="101"/>
      <c r="L45" s="46" t="str">
        <f aca="false">IF(AND($N$3=10),AJ45,AF43)</f>
        <v>Telefonia 0800</v>
      </c>
      <c r="M45" s="46"/>
      <c r="N45" s="47" t="n">
        <f aca="false">SUMIF($H$16:$I$38,L45,$J$16:$K$38)</f>
        <v>0</v>
      </c>
      <c r="O45" s="47"/>
      <c r="Q45" s="1" t="n">
        <f aca="false">IF(B42="PREENCHA OS DADOS BANCÁRIOS",1,0)</f>
        <v>0</v>
      </c>
      <c r="X45" s="1" t="n">
        <v>8212</v>
      </c>
      <c r="AE45" s="1" t="str">
        <f aca="false">IF(AND($N$3&lt;&gt;"",$N$3=10),X46,"")</f>
        <v/>
      </c>
      <c r="AF45" s="27" t="s">
        <v>135</v>
      </c>
      <c r="AJ45" s="43" t="n">
        <v>1544</v>
      </c>
      <c r="AK45" s="39" t="s">
        <v>136</v>
      </c>
      <c r="AT45" s="4" t="e">
        <f aca="false">IF(AT41=1,"","")</f>
        <v>#REF!</v>
      </c>
    </row>
    <row r="46" customFormat="false" ht="15.75" hidden="false" customHeight="false" outlineLevel="0" collapsed="false">
      <c r="B46" s="107"/>
      <c r="C46" s="108"/>
      <c r="D46" s="109"/>
      <c r="E46" s="110"/>
      <c r="F46" s="110"/>
      <c r="G46" s="110"/>
      <c r="H46" s="101"/>
      <c r="I46" s="101"/>
      <c r="J46" s="101"/>
      <c r="K46" s="101"/>
      <c r="L46" s="96" t="str">
        <f aca="false">IF(AND($N$3=10),AJ46,AF44)</f>
        <v>Telefonia ativa</v>
      </c>
      <c r="M46" s="96"/>
      <c r="N46" s="41" t="n">
        <f aca="false">SUMIF($H$16:$I$38,L46,$J$16:$K$38)</f>
        <v>0</v>
      </c>
      <c r="O46" s="41"/>
      <c r="X46" s="1" t="n">
        <v>8213</v>
      </c>
      <c r="AE46" s="1" t="str">
        <f aca="false">IF(AND($N$3&lt;&gt;"",$N$3=10),X47,"")</f>
        <v/>
      </c>
      <c r="AF46" s="27" t="s">
        <v>137</v>
      </c>
      <c r="AJ46" s="43" t="n">
        <v>1546</v>
      </c>
      <c r="AK46" s="39" t="s">
        <v>138</v>
      </c>
      <c r="AT46" s="4" t="e">
        <f aca="false">CONCATENATE(AT43,AT44,AT45)</f>
        <v>#REF!</v>
      </c>
    </row>
    <row r="47" customFormat="false" ht="19.5" hidden="false" customHeight="false" outlineLevel="0" collapsed="false">
      <c r="B47" s="111" t="s">
        <v>139</v>
      </c>
      <c r="C47" s="111"/>
      <c r="D47" s="111"/>
      <c r="E47" s="111"/>
      <c r="F47" s="111"/>
      <c r="G47" s="111"/>
      <c r="H47" s="111"/>
      <c r="I47" s="111"/>
      <c r="J47" s="111"/>
      <c r="L47" s="46" t="str">
        <f aca="false">IF(AND($N$3=10),AJ47,AF45)</f>
        <v>Telefonia URA</v>
      </c>
      <c r="M47" s="46"/>
      <c r="N47" s="47" t="n">
        <f aca="false">SUMIF($H$16:$I$38,L47,$J$16:$K$38)</f>
        <v>0</v>
      </c>
      <c r="O47" s="47"/>
      <c r="X47" s="1" t="n">
        <v>8214</v>
      </c>
      <c r="Y47" s="112" t="n">
        <f aca="false">SUM(J16:K31)</f>
        <v>76.5</v>
      </c>
      <c r="Z47" s="1" t="n">
        <f aca="false">IF(Y47=0,"",Y47)</f>
        <v>76.5</v>
      </c>
      <c r="AA47" s="1" t="str">
        <f aca="false">IF(Z47&gt;4999.99,"TED","DOC")</f>
        <v>DOC</v>
      </c>
      <c r="AE47" s="1" t="str">
        <f aca="false">IF(AND($N$3&lt;&gt;"",$N$3=10),X48,"")</f>
        <v/>
      </c>
      <c r="AF47" s="27" t="s">
        <v>140</v>
      </c>
      <c r="AJ47" s="43" t="n">
        <v>1547</v>
      </c>
      <c r="AK47" s="39" t="s">
        <v>141</v>
      </c>
    </row>
    <row r="48" customFormat="false" ht="15.75" hidden="false" customHeight="true" outlineLevel="0" collapsed="false">
      <c r="B48" s="113"/>
      <c r="C48" s="113"/>
      <c r="D48" s="113"/>
      <c r="E48" s="113"/>
      <c r="F48" s="113"/>
      <c r="G48" s="113"/>
      <c r="H48" s="113"/>
      <c r="I48" s="113"/>
      <c r="J48" s="113"/>
      <c r="K48" s="114"/>
      <c r="L48" s="96" t="str">
        <f aca="false">IF(AND($N$3=10),AJ48,AF46)</f>
        <v>Vale Lanche</v>
      </c>
      <c r="M48" s="96"/>
      <c r="N48" s="41" t="n">
        <f aca="false">SUMIF($H$16:$I$38,L48,$J$16:$K$38)</f>
        <v>0</v>
      </c>
      <c r="O48" s="41"/>
      <c r="X48" s="1" t="n">
        <v>9115</v>
      </c>
      <c r="AE48" s="1" t="str">
        <f aca="false">IF(AND($N$3&lt;&gt;"",$N$3=10),X49,"")</f>
        <v/>
      </c>
      <c r="AF48" s="27" t="s">
        <v>47</v>
      </c>
      <c r="AJ48" s="43" t="n">
        <v>1551</v>
      </c>
      <c r="AK48" s="39" t="s">
        <v>142</v>
      </c>
      <c r="AS48" s="4" t="n">
        <f aca="false">IF(J40="X",1,0)</f>
        <v>0</v>
      </c>
    </row>
    <row r="49" customFormat="false" ht="15.75" hidden="false" customHeight="true" outlineLevel="0" collapsed="false">
      <c r="B49" s="113"/>
      <c r="C49" s="113"/>
      <c r="D49" s="113"/>
      <c r="E49" s="113"/>
      <c r="F49" s="113"/>
      <c r="G49" s="113"/>
      <c r="H49" s="113"/>
      <c r="I49" s="113"/>
      <c r="J49" s="113"/>
      <c r="K49" s="115"/>
      <c r="L49" s="46" t="str">
        <f aca="false">IF(AND($N$3=10),AJ49,AF47)</f>
        <v>Vale Refeição</v>
      </c>
      <c r="M49" s="46"/>
      <c r="N49" s="47" t="n">
        <f aca="false">SUMIF($H$16:$I$38,L49,$J$16:$K$38)</f>
        <v>0</v>
      </c>
      <c r="O49" s="47"/>
      <c r="X49" s="1" t="n">
        <v>9116</v>
      </c>
      <c r="AE49" s="1" t="str">
        <f aca="false">IF(AND($N$3&lt;&gt;"",$N$3=10),X50,"")</f>
        <v/>
      </c>
      <c r="AF49" s="27" t="s">
        <v>94</v>
      </c>
      <c r="AJ49" s="43" t="n">
        <v>1554</v>
      </c>
      <c r="AK49" s="39" t="s">
        <v>143</v>
      </c>
    </row>
    <row r="50" customFormat="false" ht="19.5" hidden="false" customHeight="false" outlineLevel="0" collapsed="false">
      <c r="G50" s="116"/>
      <c r="H50" s="116"/>
      <c r="I50" s="116"/>
      <c r="J50" s="116"/>
      <c r="L50" s="96" t="str">
        <f aca="false">IF(AND($N$3=10),AJ50,AF48)</f>
        <v>Vale Transporte</v>
      </c>
      <c r="M50" s="96"/>
      <c r="N50" s="41" t="n">
        <f aca="false">SUMIF($H$16:$I$38,L50,$J$16:$K$38)</f>
        <v>76.5</v>
      </c>
      <c r="O50" s="41"/>
      <c r="X50" s="1" t="n">
        <v>9117</v>
      </c>
      <c r="AE50" s="1" t="str">
        <f aca="false">IF(AND($N$3&lt;&gt;"",$N$3=10),X51,"")</f>
        <v/>
      </c>
      <c r="AJ50" s="43" t="n">
        <v>1581</v>
      </c>
      <c r="AK50" s="39" t="s">
        <v>144</v>
      </c>
    </row>
    <row r="51" customFormat="false" ht="21.75" hidden="false" customHeight="false" outlineLevel="0" collapsed="false">
      <c r="B51" s="117" t="s">
        <v>145</v>
      </c>
      <c r="C51" s="117"/>
      <c r="D51" s="118"/>
      <c r="E51" s="32"/>
      <c r="F51" s="119" t="s">
        <v>146</v>
      </c>
      <c r="G51" s="119"/>
      <c r="H51" s="119"/>
      <c r="I51" s="119"/>
      <c r="J51" s="119"/>
      <c r="L51" s="46" t="str">
        <f aca="false">IF(AND($N$3=10),AJ51,AF49)</f>
        <v>Viagens / Estadas</v>
      </c>
      <c r="M51" s="46"/>
      <c r="N51" s="47" t="n">
        <f aca="false">SUMIF($H$16:$I$38,L51,$J$16:$K$38)</f>
        <v>0</v>
      </c>
      <c r="O51" s="47"/>
      <c r="X51" s="1" t="n">
        <v>1416</v>
      </c>
      <c r="AE51" s="1" t="str">
        <f aca="false">IF(AND($N$3&lt;&gt;"",$N$3=10),X52,"")</f>
        <v/>
      </c>
      <c r="AF51" s="3" t="str">
        <f aca="false">CONCATENATE(AD51,AE51)</f>
        <v/>
      </c>
      <c r="AJ51" s="43" t="n">
        <v>1586</v>
      </c>
      <c r="AK51" s="39" t="s">
        <v>147</v>
      </c>
      <c r="AS51" s="102" t="str">
        <f aca="false">IF(AS48=1,"PREENCHA OS DADOS BANCÁRIOS","")</f>
        <v/>
      </c>
    </row>
    <row r="52" customFormat="false" ht="15.75" hidden="false" customHeight="true" outlineLevel="0" collapsed="false">
      <c r="B52" s="117"/>
      <c r="C52" s="117"/>
      <c r="D52" s="120"/>
      <c r="E52" s="121"/>
      <c r="F52" s="119"/>
      <c r="G52" s="119"/>
      <c r="H52" s="119"/>
      <c r="I52" s="119"/>
      <c r="J52" s="119"/>
      <c r="L52" s="96" t="s">
        <v>148</v>
      </c>
      <c r="M52" s="96"/>
      <c r="N52" s="41" t="n">
        <f aca="false">SUMIF($H$16:$I$38,L52,$J$16:$K$38)</f>
        <v>0</v>
      </c>
      <c r="O52" s="41"/>
      <c r="X52" s="1" t="n">
        <v>1513</v>
      </c>
      <c r="AE52" s="1" t="str">
        <f aca="false">IF(AND($N$3&lt;&gt;"",$N$3=10),X53,"")</f>
        <v/>
      </c>
      <c r="AF52" s="3" t="str">
        <f aca="false">CONCATENATE(AD52,AE52)</f>
        <v/>
      </c>
      <c r="AJ52" s="43" t="n">
        <v>1588</v>
      </c>
      <c r="AK52" s="39" t="s">
        <v>149</v>
      </c>
    </row>
    <row r="53" customFormat="false" ht="15.75" hidden="false" customHeight="false" outlineLevel="0" collapsed="false">
      <c r="A53" s="114"/>
      <c r="B53" s="114"/>
      <c r="C53" s="114"/>
      <c r="D53" s="114"/>
      <c r="E53" s="114"/>
      <c r="F53" s="114"/>
      <c r="G53" s="114"/>
      <c r="H53" s="114"/>
      <c r="I53" s="114"/>
      <c r="J53" s="114"/>
      <c r="L53" s="122" t="s">
        <v>150</v>
      </c>
      <c r="M53" s="122"/>
      <c r="N53" s="123" t="n">
        <f aca="false">SUMIF($H$16:$I$38,L53,$J$16:$K$38)</f>
        <v>0</v>
      </c>
      <c r="O53" s="123"/>
      <c r="X53" s="1" t="n">
        <v>1538</v>
      </c>
      <c r="AJ53" s="43" t="n">
        <v>1591</v>
      </c>
      <c r="AK53" s="39" t="s">
        <v>151</v>
      </c>
    </row>
    <row r="54" customFormat="false" ht="8.25" hidden="false" customHeight="true" outlineLevel="0" collapsed="false">
      <c r="A54" s="114"/>
      <c r="B54" s="114"/>
      <c r="C54" s="114"/>
      <c r="D54" s="114"/>
      <c r="E54" s="114"/>
      <c r="F54" s="114"/>
      <c r="G54" s="114"/>
      <c r="H54" s="114"/>
      <c r="I54" s="114"/>
      <c r="J54" s="114"/>
      <c r="AJ54" s="43" t="n">
        <v>1596</v>
      </c>
      <c r="AK54" s="39" t="s">
        <v>152</v>
      </c>
    </row>
    <row r="55" customFormat="false" ht="18.75" hidden="false" customHeight="false" outlineLevel="0" collapsed="false">
      <c r="B55" s="124" t="s">
        <v>153</v>
      </c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AJ55" s="43"/>
      <c r="AK55" s="39"/>
    </row>
    <row r="56" customFormat="false" ht="16.5" hidden="false" customHeight="false" outlineLevel="0" collapsed="false">
      <c r="B56" s="125" t="s">
        <v>154</v>
      </c>
      <c r="C56" s="125"/>
      <c r="D56" s="125"/>
      <c r="E56" s="125" t="s">
        <v>155</v>
      </c>
      <c r="F56" s="125"/>
      <c r="G56" s="125"/>
      <c r="H56" s="125" t="s">
        <v>156</v>
      </c>
      <c r="I56" s="125"/>
      <c r="J56" s="125"/>
      <c r="K56" s="125" t="s">
        <v>157</v>
      </c>
      <c r="L56" s="125"/>
      <c r="M56" s="125"/>
      <c r="AJ56" s="43"/>
      <c r="AK56" s="39"/>
    </row>
    <row r="57" s="86" customFormat="true" ht="16.5" hidden="false" customHeight="false" outlineLevel="0" collapsed="false">
      <c r="B57" s="126"/>
      <c r="C57" s="126"/>
      <c r="D57" s="126"/>
      <c r="E57" s="127" t="s">
        <v>158</v>
      </c>
      <c r="F57" s="127"/>
      <c r="G57" s="127"/>
      <c r="H57" s="127" t="s">
        <v>159</v>
      </c>
      <c r="I57" s="127"/>
      <c r="J57" s="127"/>
      <c r="K57" s="127" t="s">
        <v>160</v>
      </c>
      <c r="L57" s="127"/>
      <c r="M57" s="127"/>
      <c r="P57" s="90"/>
      <c r="AF57" s="128"/>
      <c r="AI57" s="92"/>
      <c r="AJ57" s="93"/>
      <c r="AK57" s="94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BC57" s="92"/>
      <c r="BD57" s="92"/>
    </row>
    <row r="58" customFormat="false" ht="15.75" hidden="false" customHeight="false" outlineLevel="0" collapsed="false">
      <c r="B58" s="129"/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AJ58" s="43"/>
      <c r="AK58" s="39"/>
    </row>
    <row r="59" customFormat="false" ht="15.75" hidden="false" customHeight="false" outlineLevel="0" collapsed="false">
      <c r="B59" s="129"/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AJ59" s="43"/>
      <c r="AK59" s="39"/>
    </row>
    <row r="60" customFormat="false" ht="15.75" hidden="false" customHeight="false" outlineLevel="0" collapsed="false"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AJ60" s="43"/>
      <c r="AK60" s="39"/>
    </row>
    <row r="61" customFormat="false" ht="19.5" hidden="false" customHeight="false" outlineLevel="0" collapsed="false">
      <c r="B61" s="130"/>
      <c r="C61" s="130"/>
      <c r="D61" s="130"/>
      <c r="E61" s="131"/>
      <c r="F61" s="131"/>
      <c r="G61" s="132"/>
      <c r="H61" s="132"/>
      <c r="I61" s="133"/>
      <c r="J61" s="133"/>
      <c r="K61" s="133"/>
      <c r="L61" s="133"/>
      <c r="M61" s="133"/>
      <c r="N61" s="130"/>
      <c r="O61" s="131"/>
      <c r="S61" s="1" t="e">
        <f aca="false">SUM(#REF!)</f>
        <v>#REF!</v>
      </c>
      <c r="AJ61" s="43" t="n">
        <v>6600</v>
      </c>
      <c r="AK61" s="39" t="s">
        <v>161</v>
      </c>
    </row>
    <row r="62" customFormat="false" ht="15.75" hidden="false" customHeight="true" outlineLevel="0" collapsed="false">
      <c r="B62" s="130"/>
      <c r="C62" s="130"/>
      <c r="D62" s="130"/>
      <c r="E62" s="130"/>
      <c r="F62" s="130"/>
      <c r="G62" s="131" t="s">
        <v>162</v>
      </c>
      <c r="H62" s="131"/>
      <c r="I62" s="131"/>
      <c r="J62" s="131"/>
      <c r="K62" s="131"/>
      <c r="L62" s="130"/>
      <c r="M62" s="130"/>
      <c r="N62" s="130"/>
      <c r="O62" s="131"/>
      <c r="AJ62" s="43" t="n">
        <v>7720</v>
      </c>
      <c r="AK62" s="39" t="s">
        <v>163</v>
      </c>
    </row>
    <row r="63" customFormat="false" ht="21" hidden="false" customHeight="true" outlineLevel="0" collapsed="false">
      <c r="B63" s="134" t="s">
        <v>164</v>
      </c>
      <c r="C63" s="134"/>
      <c r="D63" s="134"/>
      <c r="E63" s="134"/>
      <c r="F63" s="134"/>
      <c r="G63" s="131"/>
      <c r="H63" s="131"/>
      <c r="I63" s="131" t="s">
        <v>165</v>
      </c>
      <c r="J63" s="131"/>
      <c r="K63" s="131"/>
      <c r="L63" s="135" t="s">
        <v>166</v>
      </c>
      <c r="M63" s="135"/>
      <c r="N63" s="135"/>
      <c r="O63" s="135"/>
      <c r="AJ63" s="43" t="n">
        <v>8796</v>
      </c>
      <c r="AK63" s="39" t="s">
        <v>167</v>
      </c>
    </row>
    <row r="64" customFormat="false" ht="24.95" hidden="false" customHeight="true" outlineLevel="0" collapsed="false">
      <c r="B64" s="134" t="s">
        <v>168</v>
      </c>
      <c r="C64" s="134"/>
      <c r="D64" s="134"/>
      <c r="E64" s="134"/>
      <c r="F64" s="134"/>
      <c r="G64" s="131"/>
      <c r="H64" s="131"/>
      <c r="I64" s="131"/>
      <c r="J64" s="131"/>
      <c r="K64" s="131"/>
      <c r="L64" s="135" t="s">
        <v>169</v>
      </c>
      <c r="M64" s="135"/>
      <c r="N64" s="135"/>
      <c r="O64" s="135"/>
      <c r="AJ64" s="43" t="n">
        <v>9116</v>
      </c>
      <c r="AK64" s="39" t="s">
        <v>170</v>
      </c>
    </row>
    <row r="65" customFormat="false" ht="24.95" hidden="false" customHeight="true" outlineLevel="0" collapsed="false">
      <c r="B65" s="136" t="s">
        <v>171</v>
      </c>
      <c r="C65" s="130"/>
      <c r="D65" s="130"/>
      <c r="E65" s="131"/>
      <c r="F65" s="131"/>
      <c r="G65" s="131"/>
      <c r="H65" s="131"/>
      <c r="I65" s="131" t="s">
        <v>172</v>
      </c>
      <c r="J65" s="131"/>
      <c r="K65" s="131"/>
      <c r="L65" s="130"/>
      <c r="M65" s="130"/>
      <c r="N65" s="130"/>
      <c r="O65" s="130"/>
      <c r="AJ65" s="43" t="n">
        <v>9120</v>
      </c>
      <c r="AK65" s="39" t="s">
        <v>173</v>
      </c>
    </row>
    <row r="66" customFormat="false" ht="19.5" hidden="false" customHeight="false" outlineLevel="0" collapsed="false">
      <c r="B66" s="136"/>
      <c r="C66" s="131"/>
      <c r="D66" s="131"/>
      <c r="E66" s="131"/>
      <c r="F66" s="131"/>
      <c r="G66" s="131"/>
      <c r="H66" s="131"/>
      <c r="I66" s="131" t="s">
        <v>174</v>
      </c>
      <c r="J66" s="131"/>
      <c r="K66" s="131"/>
      <c r="L66" s="131"/>
      <c r="M66" s="131"/>
      <c r="N66" s="131"/>
      <c r="O66" s="131"/>
      <c r="AJ66" s="43"/>
      <c r="AK66" s="39"/>
    </row>
    <row r="67" customFormat="false" ht="15.75" hidden="false" customHeight="false" outlineLevel="0" collapsed="false">
      <c r="AJ67" s="43"/>
      <c r="AK67" s="39"/>
    </row>
    <row r="68" customFormat="false" ht="15.75" hidden="false" customHeight="false" outlineLevel="0" collapsed="false">
      <c r="AJ68" s="43"/>
      <c r="AK68" s="39"/>
    </row>
    <row r="69" customFormat="false" ht="15.75" hidden="false" customHeight="false" outlineLevel="0" collapsed="false">
      <c r="AJ69" s="43"/>
      <c r="AK69" s="39"/>
    </row>
    <row r="70" customFormat="false" ht="15.75" hidden="false" customHeight="false" outlineLevel="0" collapsed="false">
      <c r="AJ70" s="43"/>
      <c r="AK70" s="39"/>
    </row>
    <row r="71" customFormat="false" ht="15.75" hidden="false" customHeight="false" outlineLevel="0" collapsed="false">
      <c r="AJ71" s="43"/>
      <c r="AK71" s="39"/>
    </row>
    <row r="72" customFormat="false" ht="15.75" hidden="false" customHeight="false" outlineLevel="0" collapsed="false">
      <c r="AJ72" s="43"/>
      <c r="AK72" s="39"/>
    </row>
    <row r="73" customFormat="false" ht="15.75" hidden="false" customHeight="false" outlineLevel="0" collapsed="false">
      <c r="AJ73" s="43"/>
      <c r="AK73" s="39"/>
    </row>
    <row r="74" customFormat="false" ht="15.75" hidden="false" customHeight="false" outlineLevel="0" collapsed="false">
      <c r="AJ74" s="43"/>
      <c r="AK74" s="39"/>
    </row>
    <row r="75" customFormat="false" ht="15.75" hidden="false" customHeight="false" outlineLevel="0" collapsed="false">
      <c r="AJ75" s="43"/>
      <c r="AK75" s="39"/>
    </row>
    <row r="76" customFormat="false" ht="15.75" hidden="false" customHeight="false" outlineLevel="0" collapsed="false">
      <c r="AJ76" s="43"/>
      <c r="AK76" s="39"/>
    </row>
  </sheetData>
  <mergeCells count="224">
    <mergeCell ref="B1:O2"/>
    <mergeCell ref="B3:C3"/>
    <mergeCell ref="D3:F3"/>
    <mergeCell ref="G3:K3"/>
    <mergeCell ref="L3:M3"/>
    <mergeCell ref="N3:N4"/>
    <mergeCell ref="AH3:AH4"/>
    <mergeCell ref="B4:C4"/>
    <mergeCell ref="D4:F4"/>
    <mergeCell ref="I4:J4"/>
    <mergeCell ref="L4:M4"/>
    <mergeCell ref="B5:C5"/>
    <mergeCell ref="D5:F5"/>
    <mergeCell ref="L5:O5"/>
    <mergeCell ref="B6:C6"/>
    <mergeCell ref="B7:C8"/>
    <mergeCell ref="D7:K8"/>
    <mergeCell ref="L7:M7"/>
    <mergeCell ref="N7:O7"/>
    <mergeCell ref="L8:M8"/>
    <mergeCell ref="N8:O8"/>
    <mergeCell ref="B9:C10"/>
    <mergeCell ref="D9:K10"/>
    <mergeCell ref="L9:M9"/>
    <mergeCell ref="N9:O9"/>
    <mergeCell ref="L10:M10"/>
    <mergeCell ref="N10:O10"/>
    <mergeCell ref="B11:K11"/>
    <mergeCell ref="L11:M11"/>
    <mergeCell ref="N11:O11"/>
    <mergeCell ref="B12:K13"/>
    <mergeCell ref="L12:M12"/>
    <mergeCell ref="N12:O12"/>
    <mergeCell ref="L13:M13"/>
    <mergeCell ref="N13:O13"/>
    <mergeCell ref="B14:G15"/>
    <mergeCell ref="H14:I15"/>
    <mergeCell ref="J14:K15"/>
    <mergeCell ref="L14:M14"/>
    <mergeCell ref="N14:O14"/>
    <mergeCell ref="L15:M15"/>
    <mergeCell ref="N15:O15"/>
    <mergeCell ref="B16:G16"/>
    <mergeCell ref="H16:I16"/>
    <mergeCell ref="J16:K16"/>
    <mergeCell ref="L16:M16"/>
    <mergeCell ref="N16:O16"/>
    <mergeCell ref="B17:G17"/>
    <mergeCell ref="H17:I17"/>
    <mergeCell ref="J17:K17"/>
    <mergeCell ref="L17:M17"/>
    <mergeCell ref="N17:O17"/>
    <mergeCell ref="B18:G18"/>
    <mergeCell ref="H18:I18"/>
    <mergeCell ref="J18:K18"/>
    <mergeCell ref="L18:M18"/>
    <mergeCell ref="N18:O18"/>
    <mergeCell ref="B19:G19"/>
    <mergeCell ref="H19:I19"/>
    <mergeCell ref="J19:K19"/>
    <mergeCell ref="L19:M19"/>
    <mergeCell ref="N19:O19"/>
    <mergeCell ref="B20:G20"/>
    <mergeCell ref="H20:I20"/>
    <mergeCell ref="J20:K20"/>
    <mergeCell ref="L20:M20"/>
    <mergeCell ref="N20:O20"/>
    <mergeCell ref="B21:G21"/>
    <mergeCell ref="H21:I21"/>
    <mergeCell ref="J21:K21"/>
    <mergeCell ref="L21:M21"/>
    <mergeCell ref="N21:O21"/>
    <mergeCell ref="B22:G22"/>
    <mergeCell ref="H22:I22"/>
    <mergeCell ref="J22:K22"/>
    <mergeCell ref="L22:M22"/>
    <mergeCell ref="N22:O22"/>
    <mergeCell ref="B23:G23"/>
    <mergeCell ref="H23:I23"/>
    <mergeCell ref="J23:K23"/>
    <mergeCell ref="L23:M23"/>
    <mergeCell ref="N23:O23"/>
    <mergeCell ref="B24:G24"/>
    <mergeCell ref="H24:I24"/>
    <mergeCell ref="J24:K24"/>
    <mergeCell ref="L24:M24"/>
    <mergeCell ref="N24:O24"/>
    <mergeCell ref="B25:G25"/>
    <mergeCell ref="H25:I25"/>
    <mergeCell ref="J25:K25"/>
    <mergeCell ref="L25:M25"/>
    <mergeCell ref="N25:O25"/>
    <mergeCell ref="B26:G26"/>
    <mergeCell ref="H26:I26"/>
    <mergeCell ref="J26:K26"/>
    <mergeCell ref="L26:M26"/>
    <mergeCell ref="N26:O26"/>
    <mergeCell ref="B27:G27"/>
    <mergeCell ref="H27:I27"/>
    <mergeCell ref="J27:K27"/>
    <mergeCell ref="L27:M27"/>
    <mergeCell ref="N27:O27"/>
    <mergeCell ref="B28:G28"/>
    <mergeCell ref="H28:I28"/>
    <mergeCell ref="J28:K28"/>
    <mergeCell ref="L28:M28"/>
    <mergeCell ref="N28:O28"/>
    <mergeCell ref="B29:G29"/>
    <mergeCell ref="H29:I29"/>
    <mergeCell ref="J29:K29"/>
    <mergeCell ref="L29:M29"/>
    <mergeCell ref="N29:O29"/>
    <mergeCell ref="B30:G30"/>
    <mergeCell ref="H30:I30"/>
    <mergeCell ref="J30:K30"/>
    <mergeCell ref="L30:M30"/>
    <mergeCell ref="N30:O30"/>
    <mergeCell ref="B31:G31"/>
    <mergeCell ref="H31:I31"/>
    <mergeCell ref="J31:K31"/>
    <mergeCell ref="L31:M31"/>
    <mergeCell ref="N31:O31"/>
    <mergeCell ref="B32:G32"/>
    <mergeCell ref="H32:I32"/>
    <mergeCell ref="J32:K32"/>
    <mergeCell ref="L32:M32"/>
    <mergeCell ref="N32:O32"/>
    <mergeCell ref="B33:G33"/>
    <mergeCell ref="H33:I33"/>
    <mergeCell ref="J33:K33"/>
    <mergeCell ref="L33:M33"/>
    <mergeCell ref="N33:O33"/>
    <mergeCell ref="B34:G34"/>
    <mergeCell ref="H34:I34"/>
    <mergeCell ref="J34:K34"/>
    <mergeCell ref="L34:M34"/>
    <mergeCell ref="N34:O34"/>
    <mergeCell ref="B35:G35"/>
    <mergeCell ref="H35:I35"/>
    <mergeCell ref="J35:K35"/>
    <mergeCell ref="L35:M35"/>
    <mergeCell ref="N35:O35"/>
    <mergeCell ref="B36:G36"/>
    <mergeCell ref="H36:I36"/>
    <mergeCell ref="J36:K36"/>
    <mergeCell ref="L36:M36"/>
    <mergeCell ref="N36:O36"/>
    <mergeCell ref="B37:G37"/>
    <mergeCell ref="H37:I37"/>
    <mergeCell ref="J37:K37"/>
    <mergeCell ref="L37:M37"/>
    <mergeCell ref="N37:O37"/>
    <mergeCell ref="B38:G38"/>
    <mergeCell ref="H38:I38"/>
    <mergeCell ref="J38:K38"/>
    <mergeCell ref="L38:M38"/>
    <mergeCell ref="N38:O38"/>
    <mergeCell ref="B39:K39"/>
    <mergeCell ref="L39:M39"/>
    <mergeCell ref="N39:O39"/>
    <mergeCell ref="C40:D40"/>
    <mergeCell ref="E40:G40"/>
    <mergeCell ref="H40:I40"/>
    <mergeCell ref="J40:K40"/>
    <mergeCell ref="L40:M40"/>
    <mergeCell ref="N40:O40"/>
    <mergeCell ref="C41:D41"/>
    <mergeCell ref="E41:G41"/>
    <mergeCell ref="H41:I41"/>
    <mergeCell ref="J41:K41"/>
    <mergeCell ref="L41:M41"/>
    <mergeCell ref="N41:O41"/>
    <mergeCell ref="B42:K42"/>
    <mergeCell ref="L42:M42"/>
    <mergeCell ref="N42:O42"/>
    <mergeCell ref="B43:D43"/>
    <mergeCell ref="E43:F43"/>
    <mergeCell ref="H43:J43"/>
    <mergeCell ref="L43:M43"/>
    <mergeCell ref="N43:O43"/>
    <mergeCell ref="B44:D45"/>
    <mergeCell ref="E44:F45"/>
    <mergeCell ref="G44:G45"/>
    <mergeCell ref="H44:J45"/>
    <mergeCell ref="L44:M44"/>
    <mergeCell ref="N44:O44"/>
    <mergeCell ref="L45:M45"/>
    <mergeCell ref="N45:O45"/>
    <mergeCell ref="L46:M46"/>
    <mergeCell ref="N46:O46"/>
    <mergeCell ref="B47:J47"/>
    <mergeCell ref="L47:M47"/>
    <mergeCell ref="N47:O47"/>
    <mergeCell ref="B48:J49"/>
    <mergeCell ref="L48:M48"/>
    <mergeCell ref="N48:O48"/>
    <mergeCell ref="L49:M49"/>
    <mergeCell ref="N49:O49"/>
    <mergeCell ref="L50:M50"/>
    <mergeCell ref="N50:O50"/>
    <mergeCell ref="B51:C52"/>
    <mergeCell ref="F51:J52"/>
    <mergeCell ref="L51:M51"/>
    <mergeCell ref="N51:O51"/>
    <mergeCell ref="L52:M52"/>
    <mergeCell ref="N52:O52"/>
    <mergeCell ref="L53:M53"/>
    <mergeCell ref="N53:O53"/>
    <mergeCell ref="B55:M55"/>
    <mergeCell ref="B56:D56"/>
    <mergeCell ref="E56:G56"/>
    <mergeCell ref="H56:J56"/>
    <mergeCell ref="K56:M56"/>
    <mergeCell ref="B57:D57"/>
    <mergeCell ref="E57:G57"/>
    <mergeCell ref="H57:J57"/>
    <mergeCell ref="K57:M57"/>
    <mergeCell ref="B58:D60"/>
    <mergeCell ref="E58:G60"/>
    <mergeCell ref="H58:J60"/>
    <mergeCell ref="K58:M60"/>
    <mergeCell ref="I61:M61"/>
    <mergeCell ref="L63:O63"/>
    <mergeCell ref="L64:O64"/>
  </mergeCells>
  <dataValidations count="4">
    <dataValidation allowBlank="true" error="Favor Preencher o Centro de Custo" operator="between" prompt="Marque o centro de custo" showDropDown="false" showErrorMessage="true" showInputMessage="true" sqref="H16:I37" type="list">
      <formula1>IF(AND($N$3=10),$X$7:$X$53,$AF$5:$AF$49)</formula1>
      <formula2>0</formula2>
    </dataValidation>
    <dataValidation allowBlank="false" operator="between" showDropDown="false" showErrorMessage="true" showInputMessage="true" sqref="J16:K38" type="decimal">
      <formula1>-99999999</formula1>
      <formula2>1E+025</formula2>
    </dataValidation>
    <dataValidation allowBlank="true" error="Favor Preencher o Centro de Custo" operator="between" prompt="Marque o centro de custo" showDropDown="false" showErrorMessage="true" showInputMessage="true" sqref="H38:I38" type="list">
      <formula1>$AF$5:$AF$44</formula1>
      <formula2>0</formula2>
    </dataValidation>
    <dataValidation allowBlank="true" operator="between" showDropDown="false" showErrorMessage="true" showInputMessage="true" sqref="D4" type="list">
      <formula1>#ref!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58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D1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5" activeCellId="0" sqref="D5"/>
    </sheetView>
  </sheetViews>
  <sheetFormatPr defaultColWidth="9.14453125" defaultRowHeight="15" zeroHeight="false" outlineLevelRow="0" outlineLevelCol="0"/>
  <cols>
    <col collapsed="false" customWidth="false" hidden="false" outlineLevel="0" max="1" min="1" style="137" width="9.14"/>
    <col collapsed="false" customWidth="true" hidden="false" outlineLevel="0" max="2" min="2" style="137" width="20.85"/>
    <col collapsed="false" customWidth="false" hidden="false" outlineLevel="0" max="3" min="3" style="137" width="9.14"/>
    <col collapsed="false" customWidth="true" hidden="false" outlineLevel="0" max="4" min="4" style="137" width="29.29"/>
    <col collapsed="false" customWidth="false" hidden="false" outlineLevel="0" max="1024" min="5" style="137" width="9.14"/>
  </cols>
  <sheetData>
    <row r="2" customFormat="false" ht="15.75" hidden="false" customHeight="false" outlineLevel="0" collapsed="false"/>
    <row r="3" customFormat="false" ht="15" hidden="false" customHeight="false" outlineLevel="0" collapsed="false">
      <c r="B3" s="138" t="s">
        <v>175</v>
      </c>
      <c r="C3" s="139" t="n">
        <v>1</v>
      </c>
      <c r="D3" s="137" t="e">
        <f aca="false">IF(C3=#REF!,B3,"")</f>
        <v>#REF!</v>
      </c>
    </row>
    <row r="4" customFormat="false" ht="15" hidden="false" customHeight="false" outlineLevel="0" collapsed="false">
      <c r="B4" s="140" t="s">
        <v>176</v>
      </c>
      <c r="C4" s="141" t="n">
        <f aca="false">C3+1</f>
        <v>2</v>
      </c>
      <c r="D4" s="137" t="e">
        <f aca="false">IF(C4=#REF!,B4,"")</f>
        <v>#REF!</v>
      </c>
    </row>
    <row r="5" customFormat="false" ht="15" hidden="false" customHeight="false" outlineLevel="0" collapsed="false">
      <c r="B5" s="140" t="s">
        <v>177</v>
      </c>
      <c r="C5" s="141" t="n">
        <f aca="false">C4+1</f>
        <v>3</v>
      </c>
      <c r="D5" s="137" t="e">
        <f aca="false">IF(C5=#REF!,B5,"")</f>
        <v>#REF!</v>
      </c>
    </row>
    <row r="6" customFormat="false" ht="15" hidden="false" customHeight="false" outlineLevel="0" collapsed="false">
      <c r="B6" s="140" t="s">
        <v>178</v>
      </c>
      <c r="C6" s="141" t="n">
        <f aca="false">C5+1</f>
        <v>4</v>
      </c>
      <c r="D6" s="137" t="e">
        <f aca="false">IF(C6=#REF!,B6,"")</f>
        <v>#REF!</v>
      </c>
    </row>
    <row r="7" customFormat="false" ht="15" hidden="false" customHeight="false" outlineLevel="0" collapsed="false">
      <c r="B7" s="140" t="s">
        <v>179</v>
      </c>
      <c r="C7" s="141" t="n">
        <f aca="false">C6+1</f>
        <v>5</v>
      </c>
      <c r="D7" s="137" t="e">
        <f aca="false">IF(C7=#REF!,B7,"")</f>
        <v>#REF!</v>
      </c>
    </row>
    <row r="8" customFormat="false" ht="15" hidden="false" customHeight="false" outlineLevel="0" collapsed="false">
      <c r="B8" s="140" t="s">
        <v>180</v>
      </c>
      <c r="C8" s="141" t="n">
        <f aca="false">C7+1</f>
        <v>6</v>
      </c>
      <c r="D8" s="137" t="e">
        <f aca="false">IF(C8=#REF!,B8,"")</f>
        <v>#REF!</v>
      </c>
    </row>
    <row r="9" customFormat="false" ht="15" hidden="false" customHeight="false" outlineLevel="0" collapsed="false">
      <c r="B9" s="140" t="s">
        <v>181</v>
      </c>
      <c r="C9" s="141" t="n">
        <f aca="false">C8+1</f>
        <v>7</v>
      </c>
      <c r="D9" s="137" t="e">
        <f aca="false">IF(C9=#REF!,B9,"")</f>
        <v>#REF!</v>
      </c>
    </row>
    <row r="10" customFormat="false" ht="15" hidden="false" customHeight="false" outlineLevel="0" collapsed="false">
      <c r="B10" s="140" t="s">
        <v>182</v>
      </c>
      <c r="C10" s="141" t="n">
        <f aca="false">C9+1</f>
        <v>8</v>
      </c>
      <c r="D10" s="137" t="e">
        <f aca="false">IF(C10=#REF!,B10,"")</f>
        <v>#REF!</v>
      </c>
    </row>
    <row r="11" customFormat="false" ht="15" hidden="false" customHeight="false" outlineLevel="0" collapsed="false">
      <c r="B11" s="140" t="s">
        <v>183</v>
      </c>
      <c r="C11" s="141" t="n">
        <f aca="false">C10+1</f>
        <v>9</v>
      </c>
      <c r="D11" s="137" t="e">
        <f aca="false">IF(C11=#REF!,B11,"")</f>
        <v>#REF!</v>
      </c>
    </row>
    <row r="12" customFormat="false" ht="15" hidden="false" customHeight="false" outlineLevel="0" collapsed="false">
      <c r="B12" s="140" t="s">
        <v>184</v>
      </c>
      <c r="C12" s="141" t="n">
        <f aca="false">C11+1</f>
        <v>10</v>
      </c>
      <c r="D12" s="137" t="e">
        <f aca="false">IF(C12=#REF!,B12,"")</f>
        <v>#REF!</v>
      </c>
    </row>
    <row r="13" customFormat="false" ht="15" hidden="false" customHeight="false" outlineLevel="0" collapsed="false">
      <c r="B13" s="140" t="s">
        <v>5</v>
      </c>
      <c r="C13" s="141" t="n">
        <f aca="false">C12+1</f>
        <v>11</v>
      </c>
    </row>
    <row r="14" customFormat="false" ht="15" hidden="false" customHeight="false" outlineLevel="0" collapsed="false">
      <c r="B14" s="140" t="s">
        <v>185</v>
      </c>
      <c r="C14" s="141" t="n">
        <f aca="false">C13+1</f>
        <v>12</v>
      </c>
      <c r="D14" s="137" t="e">
        <f aca="false">IF(C14=#REF!,B14,"")</f>
        <v>#REF!</v>
      </c>
    </row>
    <row r="15" customFormat="false" ht="15.75" hidden="false" customHeight="false" outlineLevel="0" collapsed="false">
      <c r="B15" s="142" t="s">
        <v>186</v>
      </c>
      <c r="C15" s="143" t="n">
        <f aca="false">C14+1</f>
        <v>13</v>
      </c>
      <c r="D15" s="137" t="e">
        <f aca="false">IF(C15=#REF!,B15,"")</f>
        <v>#REF!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38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C26" activeCellId="0" sqref="C26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29.72"/>
    <col collapsed="false" customWidth="true" hidden="false" outlineLevel="0" max="3" min="3" style="0" width="29.72"/>
  </cols>
  <sheetData>
    <row r="1" customFormat="false" ht="15" hidden="false" customHeight="false" outlineLevel="0" collapsed="false">
      <c r="C1" s="144" t="s">
        <v>187</v>
      </c>
    </row>
    <row r="2" customFormat="false" ht="15" hidden="false" customHeight="false" outlineLevel="0" collapsed="false">
      <c r="C2" s="0" t="s">
        <v>12</v>
      </c>
    </row>
    <row r="3" customFormat="false" ht="15" hidden="false" customHeight="false" outlineLevel="0" collapsed="false">
      <c r="C3" s="0" t="s">
        <v>16</v>
      </c>
    </row>
    <row r="4" customFormat="false" ht="15" hidden="false" customHeight="false" outlineLevel="0" collapsed="false">
      <c r="C4" s="0" t="s">
        <v>19</v>
      </c>
    </row>
    <row r="5" customFormat="false" ht="15" hidden="false" customHeight="false" outlineLevel="0" collapsed="false">
      <c r="C5" s="0" t="s">
        <v>188</v>
      </c>
    </row>
    <row r="6" customFormat="false" ht="15" hidden="false" customHeight="false" outlineLevel="0" collapsed="false">
      <c r="C6" s="0" t="s">
        <v>24</v>
      </c>
    </row>
    <row r="7" customFormat="false" ht="15" hidden="false" customHeight="false" outlineLevel="0" collapsed="false">
      <c r="C7" s="0" t="s">
        <v>61</v>
      </c>
    </row>
    <row r="8" customFormat="false" ht="15" hidden="false" customHeight="false" outlineLevel="0" collapsed="false">
      <c r="C8" s="0" t="s">
        <v>41</v>
      </c>
    </row>
    <row r="9" customFormat="false" ht="15" hidden="false" customHeight="false" outlineLevel="0" collapsed="false">
      <c r="C9" s="0" t="s">
        <v>69</v>
      </c>
    </row>
    <row r="10" customFormat="false" ht="15" hidden="false" customHeight="false" outlineLevel="0" collapsed="false">
      <c r="C10" s="0" t="s">
        <v>57</v>
      </c>
    </row>
    <row r="11" customFormat="false" ht="15" hidden="false" customHeight="false" outlineLevel="0" collapsed="false">
      <c r="C11" s="145" t="s">
        <v>54</v>
      </c>
    </row>
    <row r="12" customFormat="false" ht="15" hidden="false" customHeight="false" outlineLevel="0" collapsed="false">
      <c r="C12" s="0" t="s">
        <v>62</v>
      </c>
    </row>
    <row r="13" customFormat="false" ht="15" hidden="false" customHeight="false" outlineLevel="0" collapsed="false">
      <c r="C13" s="0" t="s">
        <v>66</v>
      </c>
    </row>
    <row r="14" customFormat="false" ht="15" hidden="false" customHeight="false" outlineLevel="0" collapsed="false">
      <c r="C14" s="0" t="s">
        <v>189</v>
      </c>
    </row>
    <row r="15" customFormat="false" ht="15" hidden="false" customHeight="false" outlineLevel="0" collapsed="false">
      <c r="C15" s="0" t="s">
        <v>73</v>
      </c>
    </row>
    <row r="16" customFormat="false" ht="15" hidden="false" customHeight="false" outlineLevel="0" collapsed="false">
      <c r="C16" s="0" t="s">
        <v>34</v>
      </c>
    </row>
    <row r="17" customFormat="false" ht="15" hidden="false" customHeight="false" outlineLevel="0" collapsed="false">
      <c r="C17" s="0" t="s">
        <v>40</v>
      </c>
    </row>
    <row r="18" customFormat="false" ht="15" hidden="false" customHeight="false" outlineLevel="0" collapsed="false">
      <c r="C18" s="0" t="s">
        <v>15</v>
      </c>
    </row>
    <row r="19" customFormat="false" ht="15" hidden="false" customHeight="false" outlineLevel="0" collapsed="false">
      <c r="C19" s="0" t="s">
        <v>20</v>
      </c>
    </row>
    <row r="20" customFormat="false" ht="15" hidden="false" customHeight="false" outlineLevel="0" collapsed="false">
      <c r="C20" s="0" t="s">
        <v>23</v>
      </c>
    </row>
    <row r="21" customFormat="false" ht="15" hidden="false" customHeight="false" outlineLevel="0" collapsed="false">
      <c r="C21" s="0" t="s">
        <v>80</v>
      </c>
    </row>
    <row r="22" customFormat="false" ht="15" hidden="false" customHeight="false" outlineLevel="0" collapsed="false">
      <c r="C22" s="0" t="s">
        <v>96</v>
      </c>
    </row>
    <row r="23" customFormat="false" ht="15" hidden="false" customHeight="false" outlineLevel="0" collapsed="false">
      <c r="C23" s="0" t="s">
        <v>98</v>
      </c>
    </row>
    <row r="24" customFormat="false" ht="15" hidden="false" customHeight="false" outlineLevel="0" collapsed="false">
      <c r="C24" s="0" t="s">
        <v>72</v>
      </c>
    </row>
    <row r="25" customFormat="false" ht="15" hidden="false" customHeight="false" outlineLevel="0" collapsed="false">
      <c r="C25" s="145" t="s">
        <v>190</v>
      </c>
    </row>
    <row r="26" customFormat="false" ht="15" hidden="false" customHeight="false" outlineLevel="0" collapsed="false">
      <c r="C26" s="0" t="s">
        <v>78</v>
      </c>
    </row>
    <row r="27" customFormat="false" ht="15" hidden="false" customHeight="false" outlineLevel="0" collapsed="false">
      <c r="C27" s="0" t="s">
        <v>65</v>
      </c>
    </row>
    <row r="28" customFormat="false" ht="15" hidden="false" customHeight="false" outlineLevel="0" collapsed="false">
      <c r="C28" s="0" t="s">
        <v>191</v>
      </c>
    </row>
    <row r="29" customFormat="false" ht="15" hidden="false" customHeight="false" outlineLevel="0" collapsed="false">
      <c r="A29" s="0" t="s">
        <v>100</v>
      </c>
      <c r="C29" s="0" t="s">
        <v>48</v>
      </c>
    </row>
    <row r="30" customFormat="false" ht="15" hidden="false" customHeight="false" outlineLevel="0" collapsed="false">
      <c r="A30" s="0" t="s">
        <v>103</v>
      </c>
      <c r="C30" s="0" t="s">
        <v>43</v>
      </c>
    </row>
    <row r="31" customFormat="false" ht="15" hidden="false" customHeight="false" outlineLevel="0" collapsed="false">
      <c r="C31" s="0" t="s">
        <v>119</v>
      </c>
    </row>
    <row r="32" customFormat="false" ht="15" hidden="false" customHeight="false" outlineLevel="0" collapsed="false">
      <c r="C32" s="0" t="s">
        <v>121</v>
      </c>
    </row>
    <row r="33" customFormat="false" ht="15" hidden="false" customHeight="false" outlineLevel="0" collapsed="false">
      <c r="C33" s="0" t="s">
        <v>83</v>
      </c>
    </row>
    <row r="34" customFormat="false" ht="15" hidden="false" customHeight="false" outlineLevel="0" collapsed="false">
      <c r="C34" s="0" t="s">
        <v>128</v>
      </c>
    </row>
    <row r="35" customFormat="false" ht="15" hidden="false" customHeight="false" outlineLevel="0" collapsed="false">
      <c r="C35" s="0" t="s">
        <v>133</v>
      </c>
    </row>
    <row r="36" customFormat="false" ht="15" hidden="false" customHeight="false" outlineLevel="0" collapsed="false">
      <c r="C36" s="0" t="s">
        <v>135</v>
      </c>
    </row>
    <row r="37" customFormat="false" ht="15" hidden="false" customHeight="false" outlineLevel="0" collapsed="false">
      <c r="C37" s="0" t="s">
        <v>137</v>
      </c>
    </row>
    <row r="38" customFormat="false" ht="15" hidden="false" customHeight="false" outlineLevel="0" collapsed="false">
      <c r="C38" s="0" t="s">
        <v>94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</TotalTime>
  <Application>LibreOffice/6.4.6.2$Linux_X86_64 LibreOffice_project/40$Build-2</Application>
  <Company>Telefonica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2011-12-26T14:44:25Z</dcterms:created>
  <dc:creator>Douglas Eduardo Pianosi</dc:creator>
  <dc:description/>
  <dc:language>pt-BR</dc:language>
  <cp:lastModifiedBy/>
  <cp:lastPrinted>2019-09-16T12:42:13Z</cp:lastPrinted>
  <dcterms:modified xsi:type="dcterms:W3CDTF">2020-10-29T12:24:49Z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Telefonica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